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jorton4/Documents/personal-repos/IS_Masters/IS_6641_CloudComputing/week9/"/>
    </mc:Choice>
  </mc:AlternateContent>
  <xr:revisionPtr revIDLastSave="0" documentId="8_{F2560832-0E1D-504D-8F79-BE83007C99EC}" xr6:coauthVersionLast="47" xr6:coauthVersionMax="47" xr10:uidLastSave="{00000000-0000-0000-0000-000000000000}"/>
  <bookViews>
    <workbookView xWindow="38400" yWindow="600" windowWidth="38400" windowHeight="31400" activeTab="5" xr2:uid="{00000000-000D-0000-FFFF-FFFF00000000}"/>
  </bookViews>
  <sheets>
    <sheet name="Executive Summary" sheetId="1" r:id="rId1"/>
    <sheet name="Inputs &amp; Sources" sheetId="2" r:id="rId2"/>
    <sheet name="Part 1 - PaaS Approach" sheetId="3" r:id="rId3"/>
    <sheet name="Part 2 - IaaS Approach" sheetId="4" r:id="rId4"/>
    <sheet name="Part 3 - Growth &amp; Break-Even" sheetId="5" r:id="rId5"/>
    <sheet name="Reflection &amp; Recommendation"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7" i="5" l="1"/>
  <c r="B7" i="5"/>
  <c r="F6" i="5"/>
  <c r="B6" i="5"/>
  <c r="D8" i="4"/>
  <c r="E8" i="4" s="1"/>
  <c r="F8" i="4" s="1"/>
  <c r="D7" i="5" s="1"/>
  <c r="C8" i="4"/>
  <c r="B8" i="4"/>
  <c r="C7" i="4"/>
  <c r="D7" i="4" s="1"/>
  <c r="D6" i="4"/>
  <c r="F6" i="4" s="1"/>
  <c r="C6" i="4"/>
  <c r="C11" i="3"/>
  <c r="B11" i="3"/>
  <c r="D11" i="3" s="1"/>
  <c r="E11" i="3" s="1"/>
  <c r="E10" i="3"/>
  <c r="D10" i="3"/>
  <c r="F10" i="3" s="1"/>
  <c r="C10" i="3"/>
  <c r="C9" i="3"/>
  <c r="D9" i="3" s="1"/>
  <c r="E8" i="3"/>
  <c r="F8" i="3" s="1"/>
  <c r="D8" i="3"/>
  <c r="C8" i="3"/>
  <c r="C7" i="3"/>
  <c r="D7" i="3" s="1"/>
  <c r="E7" i="3" s="1"/>
  <c r="F7" i="3" s="1"/>
  <c r="C6" i="3"/>
  <c r="D6" i="3" s="1"/>
  <c r="E6" i="3" s="1"/>
  <c r="F11" i="3" l="1"/>
  <c r="E7" i="4"/>
  <c r="F7" i="4"/>
  <c r="F10" i="4" s="1"/>
  <c r="F6" i="3"/>
  <c r="F13" i="3" s="1"/>
  <c r="E13" i="3"/>
  <c r="E15" i="3" s="1"/>
  <c r="F9" i="3"/>
  <c r="F14" i="3" s="1"/>
  <c r="E9" i="3"/>
  <c r="E14" i="3" s="1"/>
  <c r="E6" i="4"/>
  <c r="E10" i="4" s="1"/>
  <c r="E11" i="4" s="1"/>
  <c r="C7" i="5" l="1"/>
  <c r="G7" i="5" s="1"/>
  <c r="H7" i="5" s="1"/>
  <c r="F11" i="4"/>
  <c r="E7" i="5" s="1"/>
  <c r="C6" i="5"/>
  <c r="G6" i="5" s="1"/>
  <c r="F15" i="3"/>
  <c r="E6" i="5" s="1"/>
  <c r="D6" i="5"/>
  <c r="C6" i="1" l="1"/>
  <c r="C12" i="5"/>
  <c r="B6" i="1"/>
  <c r="E6" i="1" s="1"/>
  <c r="B12" i="5"/>
  <c r="H6" i="5"/>
  <c r="C7" i="1"/>
  <c r="C13" i="5"/>
  <c r="C14" i="5" l="1"/>
  <c r="D13" i="5"/>
  <c r="B13" i="5"/>
  <c r="B14" i="5" s="1"/>
  <c r="B7" i="1"/>
  <c r="E7" i="1" s="1"/>
  <c r="B15" i="5"/>
  <c r="C15" i="5"/>
  <c r="D12" i="5"/>
  <c r="D6" i="1"/>
  <c r="C31" i="5" l="1"/>
  <c r="C26" i="5"/>
  <c r="D15" i="5"/>
  <c r="C30" i="5"/>
  <c r="C25" i="5"/>
  <c r="C29" i="5"/>
  <c r="C24" i="5"/>
  <c r="C28" i="5"/>
  <c r="D16" i="5"/>
  <c r="D8" i="1" s="1"/>
  <c r="E8" i="1" s="1"/>
  <c r="C23" i="5"/>
  <c r="D18" i="5"/>
  <c r="C27" i="5"/>
  <c r="B31" i="5"/>
  <c r="D31" i="5" s="1"/>
  <c r="B24" i="5"/>
  <c r="D24" i="5" s="1"/>
  <c r="B26" i="5"/>
  <c r="D26" i="5" s="1"/>
  <c r="B30" i="5"/>
  <c r="B25" i="5"/>
  <c r="B29" i="5"/>
  <c r="B28" i="5"/>
  <c r="B27" i="5"/>
  <c r="B23" i="5"/>
  <c r="D7" i="1"/>
  <c r="D14" i="5"/>
  <c r="D17" i="5" l="1"/>
  <c r="D23" i="5"/>
  <c r="D27" i="5"/>
  <c r="D28" i="5"/>
  <c r="D29" i="5"/>
  <c r="D25" i="5"/>
  <c r="D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20" authorId="0" shapeId="0" xr:uid="{00000000-0006-0000-0100-000001000000}">
      <text>
        <r>
          <rPr>
            <sz val="10"/>
            <rFont val="Arial"/>
            <family val="2"/>
          </rPr>
          <t>Official Google Cloud pricing source: https://cloud.google.com/sql/pricing</t>
        </r>
      </text>
    </comment>
    <comment ref="B21" authorId="0" shapeId="0" xr:uid="{00000000-0006-0000-0100-000002000000}">
      <text>
        <r>
          <rPr>
            <sz val="10"/>
            <rFont val="Arial"/>
            <family val="2"/>
          </rPr>
          <t>Official Google Cloud pricing source: https://cloud.google.com/sql/pricing</t>
        </r>
      </text>
    </comment>
    <comment ref="B22" authorId="0" shapeId="0" xr:uid="{00000000-0006-0000-0100-000003000000}">
      <text>
        <r>
          <rPr>
            <sz val="10"/>
            <rFont val="Arial"/>
            <family val="2"/>
          </rPr>
          <t>Official Google Cloud pricing source: https://cloud.google.com/sql/pricing</t>
        </r>
      </text>
    </comment>
    <comment ref="B23" authorId="0" shapeId="0" xr:uid="{00000000-0006-0000-0100-000004000000}">
      <text>
        <r>
          <rPr>
            <sz val="10"/>
            <rFont val="Arial"/>
            <family val="2"/>
          </rPr>
          <t>Official Google Cloud pricing source: https://cloud.google.com/run/pricing</t>
        </r>
      </text>
    </comment>
    <comment ref="B24" authorId="0" shapeId="0" xr:uid="{00000000-0006-0000-0100-000005000000}">
      <text>
        <r>
          <rPr>
            <sz val="10"/>
            <rFont val="Arial"/>
            <family val="2"/>
          </rPr>
          <t>Official Google Cloud pricing source: https://cloud.google.com/run/pricing</t>
        </r>
      </text>
    </comment>
    <comment ref="B25" authorId="0" shapeId="0" xr:uid="{00000000-0006-0000-0100-000006000000}">
      <text>
        <r>
          <rPr>
            <sz val="10"/>
            <rFont val="Arial"/>
            <family val="2"/>
          </rPr>
          <t>Official Google Cloud pricing source: https://cloud.google.com/products/compute/pricing/general-purpose</t>
        </r>
      </text>
    </comment>
    <comment ref="B26" authorId="0" shapeId="0" xr:uid="{00000000-0006-0000-0100-000007000000}">
      <text>
        <r>
          <rPr>
            <sz val="10"/>
            <rFont val="Arial"/>
            <family val="2"/>
          </rPr>
          <t>Official Google Cloud pricing source: https://cloud.google.com/compute/disks-image-pricing</t>
        </r>
      </text>
    </comment>
  </commentList>
</comments>
</file>

<file path=xl/sharedStrings.xml><?xml version="1.0" encoding="utf-8"?>
<sst xmlns="http://schemas.openxmlformats.org/spreadsheetml/2006/main" count="202" uniqueCount="153">
  <si>
    <t>QuickCart IaaS vs. PaaS Cost Analysis</t>
  </si>
  <si>
    <t>Google Cloud, us-central1, on-demand pricing. Inputs are editable on the Inputs &amp; Sources sheet.</t>
  </si>
  <si>
    <t>Key Results</t>
  </si>
  <si>
    <t>Metric</t>
  </si>
  <si>
    <t>PaaS</t>
  </si>
  <si>
    <t>IaaS</t>
  </si>
  <si>
    <t>Difference</t>
  </si>
  <si>
    <t>Decision</t>
  </si>
  <si>
    <t>Year 1 annual cost</t>
  </si>
  <si>
    <t>Year 2 annual cost</t>
  </si>
  <si>
    <t>Estimated break-even users</t>
  </si>
  <si>
    <t>Recommendation</t>
  </si>
  <si>
    <t>Choose PaaS in Year 1 and continue with PaaS in Year 2. Although the self-managed VM has lower raw infrastructure cost, IaaS requires substantially more operations labor. Under the modeled assumptions, PaaS is lower cost at both 5,000 and 15,000 active users and remains lower cost until approximately the break-even user count shown above. Revisit the decision as scale, staffing, reliability, and discount commitments change.</t>
  </si>
  <si>
    <t>Model Scope and Caveats</t>
  </si>
  <si>
    <t>This is a back-of-the-envelope comparison, not a production quote. It excludes network egress, taxes, support, load balancers, observability tooling, backup storage, redundancy/high availability, disaster recovery, and engineering time to migrate. The break-even is a linear extrapolation from two assignment-defined data points and should be treated as directional.</t>
  </si>
  <si>
    <t>QuickCart FinOps Model — Inputs &amp; Sources</t>
  </si>
  <si>
    <t>Blue/yellow cells are scenario inputs. All calculated outputs elsewhere use formulas linked to this sheet.</t>
  </si>
  <si>
    <t>Business and Labor Assumptions</t>
  </si>
  <si>
    <t>Assumption</t>
  </si>
  <si>
    <t>Year 1</t>
  </si>
  <si>
    <t>Year 2</t>
  </si>
  <si>
    <t>Units</t>
  </si>
  <si>
    <t>Notes</t>
  </si>
  <si>
    <t>Active users</t>
  </si>
  <si>
    <t>users</t>
  </si>
  <si>
    <t>Year 2 scenario from assignment</t>
  </si>
  <si>
    <t>Daily active users</t>
  </si>
  <si>
    <t>Assumed to scale in proportion to active users</t>
  </si>
  <si>
    <t>Database size</t>
  </si>
  <si>
    <t>GiB</t>
  </si>
  <si>
    <t>Year 2 PaaS database cost is modeled as 3x per assignment</t>
  </si>
  <si>
    <t>Average server CPU usage</t>
  </si>
  <si>
    <t>%</t>
  </si>
  <si>
    <t>Starting utilization assumption</t>
  </si>
  <si>
    <t>App engineer rate</t>
  </si>
  <si>
    <t>$/hour</t>
  </si>
  <si>
    <t>Used for PaaS management</t>
  </si>
  <si>
    <t>Cloud operations engineer rate</t>
  </si>
  <si>
    <t>Used for IaaS management</t>
  </si>
  <si>
    <t>PaaS management hours</t>
  </si>
  <si>
    <t>hours/month</t>
  </si>
  <si>
    <t>Assignment assumption</t>
  </si>
  <si>
    <t>IaaS management hours</t>
  </si>
  <si>
    <t>Hours per year</t>
  </si>
  <si>
    <t>hours</t>
  </si>
  <si>
    <t>24 × 365</t>
  </si>
  <si>
    <t>Months per year</t>
  </si>
  <si>
    <t>months</t>
  </si>
  <si>
    <t>Calendar year</t>
  </si>
  <si>
    <t>Average hours per month</t>
  </si>
  <si>
    <t>8,760 ÷ 12</t>
  </si>
  <si>
    <t>Google Cloud Pricing Inputs (us-central1, on-demand)</t>
  </si>
  <si>
    <t>Service / resource</t>
  </si>
  <si>
    <t>Rate</t>
  </si>
  <si>
    <t>Configuration / formula</t>
  </si>
  <si>
    <t>Source</t>
  </si>
  <si>
    <t>Cloud SQL vCPU</t>
  </si>
  <si>
    <t>$/vCPU-hour</t>
  </si>
  <si>
    <t>1 vCPU</t>
  </si>
  <si>
    <t>https://cloud.google.com/sql/pricing</t>
  </si>
  <si>
    <t>Cloud SQL memory</t>
  </si>
  <si>
    <t>$/GiB-hour</t>
  </si>
  <si>
    <t>3.75 GiB</t>
  </si>
  <si>
    <t>Cloud SQL SSD storage</t>
  </si>
  <si>
    <t>100 GiB</t>
  </si>
  <si>
    <t>Cloud Run CPU</t>
  </si>
  <si>
    <t>$/vCPU-second</t>
  </si>
  <si>
    <t>1 vCPU, instance-based billing</t>
  </si>
  <si>
    <t>https://cloud.google.com/run/pricing</t>
  </si>
  <si>
    <t>Cloud Run memory</t>
  </si>
  <si>
    <t>$/GiB-second</t>
  </si>
  <si>
    <t>0.5 GiB, instance-based billing</t>
  </si>
  <si>
    <t>Compute Engine e2-standard-2</t>
  </si>
  <si>
    <t>2 vCPU, 8 GiB RAM</t>
  </si>
  <si>
    <t>https://cloud.google.com/products/compute/pricing/general-purpose</t>
  </si>
  <si>
    <t>Balanced persistent disk</t>
  </si>
  <si>
    <t>https://cloud.google.com/compute/disks-image-pricing</t>
  </si>
  <si>
    <t>Scaling Controls</t>
  </si>
  <si>
    <t>Control</t>
  </si>
  <si>
    <t>Value</t>
  </si>
  <si>
    <t>Explanation</t>
  </si>
  <si>
    <t>PaaS Year 2 infrastructure multiplier</t>
  </si>
  <si>
    <t>x</t>
  </si>
  <si>
    <t>Compute and database each increase 3x</t>
  </si>
  <si>
    <t>IaaS Year 2 infrastructure multiplier</t>
  </si>
  <si>
    <t>Original VM plus three additional VMs</t>
  </si>
  <si>
    <t>PaaS Year 2 management multiplier</t>
  </si>
  <si>
    <t>Management remains constant</t>
  </si>
  <si>
    <t>IaaS Year 2 management multiplier</t>
  </si>
  <si>
    <t>Assignment does not increase management hours</t>
  </si>
  <si>
    <t>Part 1 — PaaS Approach (“Costco Model”)</t>
  </si>
  <si>
    <t>Cloud Run + Cloud SQL, modeled as always-on in us-central1.</t>
  </si>
  <si>
    <t>Year 1 Cost Estimate</t>
  </si>
  <si>
    <t>Cost component</t>
  </si>
  <si>
    <t>Quantity</t>
  </si>
  <si>
    <t>Calculation</t>
  </si>
  <si>
    <t>Monthly Cost</t>
  </si>
  <si>
    <t>Annual Cost</t>
  </si>
  <si>
    <t>1 vCPU always-on</t>
  </si>
  <si>
    <t>0.5 GiB always-on</t>
  </si>
  <si>
    <t>Management labor</t>
  </si>
  <si>
    <t>2 hours/month × app engineer rate</t>
  </si>
  <si>
    <t>Database subtotal</t>
  </si>
  <si>
    <t>Compute subtotal</t>
  </si>
  <si>
    <t>Total Year 1 PaaS cost</t>
  </si>
  <si>
    <t>Interpretation</t>
  </si>
  <si>
    <t>PaaS has higher unit infrastructure pricing than a bare VM, but the managed platform sharply reduces recurring operations labor. Cloud Run handles container infrastructure and autoscaling, while Cloud SQL handles database patching, backups, and managed operations. The model excludes network egress, load balancing, taxes, and support plans.</t>
  </si>
  <si>
    <t>Part 2 — IaaS Approach (“Leased Farm”)</t>
  </si>
  <si>
    <t>Compute Engine e2-standard-2 + 100 GiB balanced persistent disk, self-managed.</t>
  </si>
  <si>
    <t>Compute Engine VM</t>
  </si>
  <si>
    <t>e2-standard-2, always on</t>
  </si>
  <si>
    <t>20 hours/month × cloud ops rate</t>
  </si>
  <si>
    <t>Infrastructure subtotal</t>
  </si>
  <si>
    <t>Total Year 1 IaaS cost</t>
  </si>
  <si>
    <t>The raw VM and disk cost is low, but the assignment’s 20 hours per month of cloud operations work dominates total cost. That labor covers operating-system patching, security updates, database administration, backup testing, monitoring, incident response, and manual scaling. This estimate does not include a separate load balancer, backup storage, network egress, or redundancy.</t>
  </si>
  <si>
    <t>Parts 3 &amp; 4 — Growth and Break-Even Analysis</t>
  </si>
  <si>
    <t>Year 2 scaling assumptions follow the assignment exactly. Break-even uses linear interpolation/extrapolation between Year 1 and Year 2.</t>
  </si>
  <si>
    <t>Year 1 vs. Year 2 Summary</t>
  </si>
  <si>
    <t>Model</t>
  </si>
  <si>
    <t>Year 1 Users</t>
  </si>
  <si>
    <t>Year 1 Infrastructure</t>
  </si>
  <si>
    <t>Year 1 Management</t>
  </si>
  <si>
    <t>Year 1 Total</t>
  </si>
  <si>
    <t>Year 2 Users</t>
  </si>
  <si>
    <t>Year 2 Infrastructure</t>
  </si>
  <si>
    <t>Year 2 Total</t>
  </si>
  <si>
    <t>Break-Even Calculation</t>
  </si>
  <si>
    <t>Difference / Result</t>
  </si>
  <si>
    <t>Year 1 total</t>
  </si>
  <si>
    <t>$/year</t>
  </si>
  <si>
    <t>Year 2 total</t>
  </si>
  <si>
    <t>Cost slope per additional user</t>
  </si>
  <si>
    <t>$/user/year</t>
  </si>
  <si>
    <t>Intercept</t>
  </si>
  <si>
    <t>$</t>
  </si>
  <si>
    <t>active users</t>
  </si>
  <si>
    <t>PaaS cost at break-even</t>
  </si>
  <si>
    <t>IaaS cost at break-even</t>
  </si>
  <si>
    <t>Scenario Table for Chart</t>
  </si>
  <si>
    <t>Active Users</t>
  </si>
  <si>
    <t>PaaS Annual Cost</t>
  </si>
  <si>
    <t>IaaS Annual Cost</t>
  </si>
  <si>
    <t>Cheaper Model</t>
  </si>
  <si>
    <t>Reflection and Recommendation</t>
  </si>
  <si>
    <t>Qualitative factors explain why the lowest infrastructure price is not necessarily the lowest total cost.</t>
  </si>
  <si>
    <t>Operations Responsibilities</t>
  </si>
  <si>
    <t>Under IaaS, the operations team owns the guest operating system, runtime and database installation, patches, backups, monitoring, capacity planning, scaling, and much of incident response. Under PaaS, Google manages most infrastructure and database maintenance, while the team focuses on application configuration, observability, access controls, data protection settings, and cost governance. For a small, lean startup, PaaS is generally better because it converts recurring operational work into a managed service and lets engineers spend more time on product delivery.</t>
  </si>
  <si>
    <t>Security and Compliance</t>
  </si>
  <si>
    <t>Both models use a shared-responsibility model, but the boundary differs. With IaaS, Fast Growth Inc. must patch and harden the VM operating system, configure database security, validate backups, and maintain monitoring. With PaaS, Google handles more of the underlying patching and service maintenance, making secure defaults and consistent updates easier to apply. The company still remains responsible for identities, application vulnerabilities, secrets, data classification, encryption choices, and e-commerce compliance controls such as PCI DSS scope management.</t>
  </si>
  <si>
    <t>Portability and Vendor Lock-In</t>
  </si>
  <si>
    <t>IaaS is typically easier to re-create at another provider because a VM-based stack can use common operating systems, containers, and database engines. PaaS can create greater switching costs through provider-specific deployment settings, IAM, monitoring, autoscaling, and managed database features. However, portability depends on design: containerizing the application, using standard PostgreSQL/MySQL features, managing infrastructure as code, and avoiding proprietary APIs can reduce lock-in in either model.</t>
  </si>
  <si>
    <t>Recommendation for Fast Growth Inc.</t>
  </si>
  <si>
    <t>Recommendation: choose PaaS for Year 1 and retain it for Year 2 under the assignment assumptions. The model shows that operations labor overwhelms the small infrastructure savings from self-managing a VM. PaaS is therefore the lower-cost option at 5,000 and 15,000 active users, while also offering faster delivery, simpler scaling, and a smaller patching burden. The linear model estimates that IaaS does not become cheaper until roughly 267,000 active users. Even near that threshold, the company should reconsider the assumptions rather than switch automatically: mature staffing, reliability requirements, reserved-use discounts, architecture efficiency, load balancing, redundancy, and migration risk could materially change the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</si>
</sst>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Red]&quot;($&quot;#,##0.00\);\-"/>
    <numFmt numFmtId="165" formatCode="#,##0;[Red]\(#,##0\);\-"/>
    <numFmt numFmtId="166" formatCode="0.0%"/>
    <numFmt numFmtId="167" formatCode="\$0.000000"/>
    <numFmt numFmtId="168" formatCode="\$0.0000"/>
  </numFmts>
  <fonts count="15" x14ac:knownFonts="1">
    <font>
      <sz val="12"/>
      <color theme="1"/>
      <name val="Aptos Narrow"/>
      <family val="2"/>
      <charset val="1"/>
    </font>
    <font>
      <b/>
      <sz val="16"/>
      <color rgb="FFFFFFFF"/>
      <name val="Cambria"/>
      <charset val="1"/>
    </font>
    <font>
      <i/>
      <sz val="10"/>
      <color rgb="FF666666"/>
      <name val="Cambria"/>
      <charset val="1"/>
    </font>
    <font>
      <b/>
      <sz val="11"/>
      <color rgb="FFFFFFFF"/>
      <name val="Cambria"/>
      <charset val="1"/>
    </font>
    <font>
      <b/>
      <sz val="11"/>
      <color rgb="FF1F1F1F"/>
      <name val="Cambria"/>
      <charset val="1"/>
    </font>
    <font>
      <sz val="11"/>
      <color rgb="FF666666"/>
      <name val="Cambria"/>
      <charset val="1"/>
    </font>
    <font>
      <sz val="11"/>
      <color rgb="FF000000"/>
      <name val="Cambria"/>
      <charset val="1"/>
    </font>
    <font>
      <b/>
      <sz val="11"/>
      <name val="Cambria"/>
      <charset val="1"/>
    </font>
    <font>
      <sz val="12"/>
      <name val="Cambria"/>
      <charset val="1"/>
    </font>
    <font>
      <sz val="11"/>
      <color rgb="FF0000FF"/>
      <name val="Cambria"/>
      <charset val="1"/>
    </font>
    <font>
      <u/>
      <sz val="11"/>
      <color rgb="FF0000FF"/>
      <name val="Cambria"/>
      <charset val="1"/>
    </font>
    <font>
      <sz val="10"/>
      <name val="Arial"/>
      <family val="2"/>
    </font>
    <font>
      <b/>
      <sz val="11"/>
      <color rgb="FF000000"/>
      <name val="Cambria"/>
      <charset val="1"/>
    </font>
    <font>
      <b/>
      <sz val="12"/>
      <name val="Cambria"/>
      <charset val="1"/>
    </font>
    <font>
      <sz val="11"/>
      <name val="Cambria"/>
      <charset val="1"/>
    </font>
  </fonts>
  <fills count="8">
    <fill>
      <patternFill patternType="none"/>
    </fill>
    <fill>
      <patternFill patternType="gray125"/>
    </fill>
    <fill>
      <patternFill patternType="solid">
        <fgColor rgb="FF17365D"/>
        <bgColor rgb="FF333399"/>
      </patternFill>
    </fill>
    <fill>
      <patternFill patternType="solid">
        <fgColor rgb="FFE7E6E6"/>
        <bgColor rgb="FFDDEBF7"/>
      </patternFill>
    </fill>
    <fill>
      <patternFill patternType="solid">
        <fgColor rgb="FFE2F0D9"/>
        <bgColor rgb="FFE7E6E6"/>
      </patternFill>
    </fill>
    <fill>
      <patternFill patternType="solid">
        <fgColor rgb="FFFFF2CC"/>
        <bgColor rgb="FFFCE4D6"/>
      </patternFill>
    </fill>
    <fill>
      <patternFill patternType="solid">
        <fgColor rgb="FFFCE4D6"/>
        <bgColor rgb="FFFFF2CC"/>
      </patternFill>
    </fill>
    <fill>
      <patternFill patternType="solid">
        <fgColor rgb="FFDDEBF7"/>
        <bgColor rgb="FFE7E6E6"/>
      </patternFill>
    </fill>
  </fills>
  <borders count="3">
    <border>
      <left/>
      <right/>
      <top/>
      <bottom/>
      <diagonal/>
    </border>
    <border>
      <left/>
      <right/>
      <top/>
      <bottom style="thin">
        <color rgb="FFB7B7B7"/>
      </bottom>
      <diagonal/>
    </border>
    <border>
      <left/>
      <right/>
      <top style="medium">
        <color rgb="FF17365D"/>
      </top>
      <bottom/>
      <diagonal/>
    </border>
  </borders>
  <cellStyleXfs count="1">
    <xf numFmtId="0" fontId="0" fillId="0" borderId="0"/>
  </cellStyleXfs>
  <cellXfs count="32">
    <xf numFmtId="0" fontId="0" fillId="0" borderId="0" xfId="0"/>
    <xf numFmtId="0" fontId="14" fillId="0" borderId="0" xfId="0" applyFont="1" applyAlignment="1">
      <alignment vertical="center" wrapText="1"/>
    </xf>
    <xf numFmtId="0" fontId="0" fillId="0" borderId="0" xfId="0" applyAlignment="1">
      <alignment vertical="center" wrapText="1"/>
    </xf>
    <xf numFmtId="0" fontId="8" fillId="0" borderId="0" xfId="0" applyFont="1" applyAlignment="1">
      <alignment vertical="center" wrapText="1"/>
    </xf>
    <xf numFmtId="0" fontId="3" fillId="2" borderId="0" xfId="0" applyFont="1" applyFill="1" applyAlignment="1">
      <alignment horizontal="left" vertical="center"/>
    </xf>
    <xf numFmtId="0" fontId="2" fillId="0" borderId="0" xfId="0" applyFont="1" applyAlignment="1">
      <alignment wrapText="1"/>
    </xf>
    <xf numFmtId="0" fontId="1" fillId="2" borderId="0" xfId="0" applyFont="1" applyFill="1" applyAlignment="1">
      <alignment horizontal="left"/>
    </xf>
    <xf numFmtId="0" fontId="4" fillId="3" borderId="1" xfId="0" applyFont="1" applyFill="1" applyBorder="1" applyAlignment="1">
      <alignment horizontal="center" vertical="center" wrapText="1"/>
    </xf>
    <xf numFmtId="0" fontId="5" fillId="0" borderId="0" xfId="0" applyFont="1" applyAlignment="1">
      <alignment vertical="center"/>
    </xf>
    <xf numFmtId="164" fontId="6" fillId="0" borderId="0" xfId="0" applyNumberFormat="1" applyFont="1" applyAlignment="1">
      <alignment vertical="center"/>
    </xf>
    <xf numFmtId="165" fontId="7" fillId="4" borderId="0" xfId="0" applyNumberFormat="1" applyFont="1" applyFill="1" applyAlignment="1">
      <alignment vertical="center"/>
    </xf>
    <xf numFmtId="165" fontId="6" fillId="0" borderId="0" xfId="0" applyNumberFormat="1" applyFont="1" applyAlignment="1">
      <alignment vertical="center"/>
    </xf>
    <xf numFmtId="0" fontId="9" fillId="5" borderId="0" xfId="0" applyFont="1" applyFill="1" applyAlignment="1">
      <alignment vertical="center"/>
    </xf>
    <xf numFmtId="166" fontId="9" fillId="5" borderId="0" xfId="0" applyNumberFormat="1" applyFont="1" applyFill="1" applyAlignment="1">
      <alignment vertical="center"/>
    </xf>
    <xf numFmtId="167" fontId="9" fillId="5" borderId="0" xfId="0" applyNumberFormat="1" applyFont="1" applyFill="1" applyAlignment="1">
      <alignment vertical="center"/>
    </xf>
    <xf numFmtId="0" fontId="10" fillId="0" borderId="0" xfId="0" applyFont="1" applyAlignment="1">
      <alignment vertical="center"/>
    </xf>
    <xf numFmtId="167" fontId="6" fillId="0" borderId="0" xfId="0" applyNumberFormat="1" applyFont="1" applyAlignment="1">
      <alignment vertical="center"/>
    </xf>
    <xf numFmtId="0" fontId="6" fillId="0" borderId="0" xfId="0" applyFont="1" applyAlignment="1">
      <alignment vertical="center"/>
    </xf>
    <xf numFmtId="0" fontId="12" fillId="0" borderId="2" xfId="0" applyFont="1" applyBorder="1" applyAlignment="1">
      <alignment vertical="center"/>
    </xf>
    <xf numFmtId="0" fontId="12" fillId="0" borderId="2" xfId="0" applyFont="1" applyBorder="1"/>
    <xf numFmtId="164" fontId="12" fillId="0" borderId="2" xfId="0" applyNumberFormat="1" applyFont="1" applyBorder="1" applyAlignment="1">
      <alignment vertical="center"/>
    </xf>
    <xf numFmtId="0" fontId="12" fillId="4" borderId="2" xfId="0" applyFont="1" applyFill="1" applyBorder="1" applyAlignment="1">
      <alignment vertical="center"/>
    </xf>
    <xf numFmtId="164" fontId="12" fillId="4" borderId="2" xfId="0" applyNumberFormat="1" applyFont="1" applyFill="1" applyBorder="1" applyAlignment="1">
      <alignment vertical="center"/>
    </xf>
    <xf numFmtId="0" fontId="12" fillId="6" borderId="2" xfId="0" applyFont="1" applyFill="1" applyBorder="1" applyAlignment="1">
      <alignment vertical="center"/>
    </xf>
    <xf numFmtId="164" fontId="12" fillId="6" borderId="2" xfId="0" applyNumberFormat="1" applyFont="1" applyFill="1" applyBorder="1" applyAlignment="1">
      <alignment vertical="center"/>
    </xf>
    <xf numFmtId="164" fontId="5" fillId="0" borderId="0" xfId="0" applyNumberFormat="1" applyFont="1" applyAlignment="1">
      <alignment vertical="center"/>
    </xf>
    <xf numFmtId="168" fontId="6" fillId="0" borderId="0" xfId="0" applyNumberFormat="1" applyFont="1" applyAlignment="1">
      <alignment vertical="center"/>
    </xf>
    <xf numFmtId="168" fontId="5" fillId="0" borderId="0" xfId="0" applyNumberFormat="1" applyFont="1" applyAlignment="1">
      <alignment vertical="center"/>
    </xf>
    <xf numFmtId="3" fontId="13" fillId="7" borderId="0" xfId="0" applyNumberFormat="1" applyFont="1" applyFill="1" applyAlignment="1">
      <alignment vertical="center"/>
    </xf>
    <xf numFmtId="165" fontId="5" fillId="0" borderId="0" xfId="0" applyNumberFormat="1" applyFont="1" applyAlignment="1">
      <alignment vertical="center"/>
    </xf>
    <xf numFmtId="164" fontId="6" fillId="7" borderId="0" xfId="0" applyNumberFormat="1" applyFont="1" applyFill="1" applyAlignment="1">
      <alignment vertical="center"/>
    </xf>
    <xf numFmtId="165" fontId="9" fillId="5" borderId="0" xfId="0" applyNumberFormat="1" applyFont="1" applyFill="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65F20"/>
      <rgbColor rgb="FF000080"/>
      <rgbColor rgb="FF808000"/>
      <rgbColor rgb="FF800080"/>
      <rgbColor rgb="FF008080"/>
      <rgbColor rgb="FFB7B7B7"/>
      <rgbColor rgb="FF8B8B8B"/>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7E6E6"/>
      <rgbColor rgb="FFE2F0D9"/>
      <rgbColor rgb="FFFFFF99"/>
      <rgbColor rgb="FF99CCFF"/>
      <rgbColor rgb="FFFF99CC"/>
      <rgbColor rgb="FFCC99FF"/>
      <rgbColor rgb="FFFCE4D6"/>
      <rgbColor rgb="FF3366FF"/>
      <rgbColor rgb="FF33CCCC"/>
      <rgbColor rgb="FF99CC00"/>
      <rgbColor rgb="FFFFCC00"/>
      <rgbColor rgb="FFFF9900"/>
      <rgbColor rgb="FFFF6600"/>
      <rgbColor rgb="FF666666"/>
      <rgbColor rgb="FF889E89"/>
      <rgbColor rgb="FF17365D"/>
      <rgbColor rgb="FF339966"/>
      <rgbColor rgb="FF003300"/>
      <rgbColor rgb="FF333300"/>
      <rgbColor rgb="FF993300"/>
      <rgbColor rgb="FF993366"/>
      <rgbColor rgb="FF33339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ptos Narrow"/>
              </a:rPr>
              <a:t>Estimated Annual Cost by Active Users</a:t>
            </a:r>
          </a:p>
        </c:rich>
      </c:tx>
      <c:overlay val="0"/>
      <c:spPr>
        <a:noFill/>
        <a:ln w="0">
          <a:noFill/>
        </a:ln>
      </c:spPr>
    </c:title>
    <c:autoTitleDeleted val="0"/>
    <c:plotArea>
      <c:layout/>
      <c:lineChart>
        <c:grouping val="standard"/>
        <c:varyColors val="0"/>
        <c:ser>
          <c:idx val="0"/>
          <c:order val="0"/>
          <c:tx>
            <c:strRef>
              <c:f>'Part 3 - Growth &amp; Break-Even'!$B$22</c:f>
              <c:strCache>
                <c:ptCount val="1"/>
                <c:pt idx="0">
                  <c:v>PaaS Annual Cost</c:v>
                </c:pt>
              </c:strCache>
            </c:strRef>
          </c:tx>
          <c:spPr>
            <a:ln w="63360">
              <a:solidFill>
                <a:srgbClr val="165F20"/>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63360">
                      <a:solidFill>
                        <a:srgbClr val="000000"/>
                      </a:solidFill>
                    </a:ln>
                  </c:spPr>
                </c15:leaderLines>
              </c:ext>
            </c:extLst>
          </c:dLbls>
          <c:cat>
            <c:numRef>
              <c:f>'Part 3 - Growth &amp; Break-Even'!$A$23:$A$31</c:f>
              <c:numCache>
                <c:formatCode>#,##0;[Red]\(#,##0\);\-</c:formatCode>
                <c:ptCount val="9"/>
                <c:pt idx="0">
                  <c:v>0</c:v>
                </c:pt>
                <c:pt idx="1">
                  <c:v>5000</c:v>
                </c:pt>
                <c:pt idx="2">
                  <c:v>15000</c:v>
                </c:pt>
                <c:pt idx="3">
                  <c:v>50000</c:v>
                </c:pt>
                <c:pt idx="4">
                  <c:v>100000</c:v>
                </c:pt>
                <c:pt idx="5">
                  <c:v>150000</c:v>
                </c:pt>
                <c:pt idx="6">
                  <c:v>200000</c:v>
                </c:pt>
                <c:pt idx="7">
                  <c:v>250000</c:v>
                </c:pt>
                <c:pt idx="8">
                  <c:v>300000</c:v>
                </c:pt>
              </c:numCache>
            </c:numRef>
          </c:cat>
          <c:val>
            <c:numRef>
              <c:f>'Part 3 - Growth &amp; Break-Even'!$B$23:$B$31</c:f>
              <c:numCache>
                <c:formatCode>\$#,##0.00;[Red]"($"#,##0.00\);\-</c:formatCode>
                <c:ptCount val="9"/>
                <c:pt idx="0">
                  <c:v>2400</c:v>
                </c:pt>
                <c:pt idx="1">
                  <c:v>3992.0222519999998</c:v>
                </c:pt>
                <c:pt idx="2">
                  <c:v>7176.0667560000002</c:v>
                </c:pt>
                <c:pt idx="3">
                  <c:v>18320.222519999999</c:v>
                </c:pt>
                <c:pt idx="4">
                  <c:v>34240.445039999999</c:v>
                </c:pt>
                <c:pt idx="5">
                  <c:v>50160.667559999994</c:v>
                </c:pt>
                <c:pt idx="6">
                  <c:v>66080.890079999997</c:v>
                </c:pt>
                <c:pt idx="7">
                  <c:v>82001.112599999993</c:v>
                </c:pt>
                <c:pt idx="8">
                  <c:v>97921.335119999989</c:v>
                </c:pt>
              </c:numCache>
            </c:numRef>
          </c:val>
          <c:smooth val="1"/>
          <c:extLst>
            <c:ext xmlns:c16="http://schemas.microsoft.com/office/drawing/2014/chart" uri="{C3380CC4-5D6E-409C-BE32-E72D297353CC}">
              <c16:uniqueId val="{00000000-93A5-664F-BC9F-85D5D4DCD64C}"/>
            </c:ext>
          </c:extLst>
        </c:ser>
        <c:ser>
          <c:idx val="1"/>
          <c:order val="1"/>
          <c:tx>
            <c:strRef>
              <c:f>'Part 3 - Growth &amp; Break-Even'!$C$22</c:f>
              <c:strCache>
                <c:ptCount val="1"/>
                <c:pt idx="0">
                  <c:v>IaaS Annual Cost</c:v>
                </c:pt>
              </c:strCache>
            </c:strRef>
          </c:tx>
          <c:spPr>
            <a:ln w="63360">
              <a:solidFill>
                <a:srgbClr val="889E89"/>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63360">
                      <a:solidFill>
                        <a:srgbClr val="000000"/>
                      </a:solidFill>
                    </a:ln>
                  </c:spPr>
                </c15:leaderLines>
              </c:ext>
            </c:extLst>
          </c:dLbls>
          <c:cat>
            <c:numRef>
              <c:f>'Part 3 - Growth &amp; Break-Even'!$A$23:$A$31</c:f>
              <c:numCache>
                <c:formatCode>#,##0;[Red]\(#,##0\);\-</c:formatCode>
                <c:ptCount val="9"/>
                <c:pt idx="0">
                  <c:v>0</c:v>
                </c:pt>
                <c:pt idx="1">
                  <c:v>5000</c:v>
                </c:pt>
                <c:pt idx="2">
                  <c:v>15000</c:v>
                </c:pt>
                <c:pt idx="3">
                  <c:v>50000</c:v>
                </c:pt>
                <c:pt idx="4">
                  <c:v>100000</c:v>
                </c:pt>
                <c:pt idx="5">
                  <c:v>150000</c:v>
                </c:pt>
                <c:pt idx="6">
                  <c:v>200000</c:v>
                </c:pt>
                <c:pt idx="7">
                  <c:v>250000</c:v>
                </c:pt>
                <c:pt idx="8">
                  <c:v>300000</c:v>
                </c:pt>
              </c:numCache>
            </c:numRef>
          </c:cat>
          <c:val>
            <c:numRef>
              <c:f>'Part 3 - Growth &amp; Break-Even'!$C$23:$C$31</c:f>
              <c:numCache>
                <c:formatCode>\$#,##0.00;[Red]"($"#,##0.00\);\-</c:formatCode>
                <c:ptCount val="9"/>
                <c:pt idx="0">
                  <c:v>30846.490112399995</c:v>
                </c:pt>
                <c:pt idx="1">
                  <c:v>31907.019775199995</c:v>
                </c:pt>
                <c:pt idx="2">
                  <c:v>34028.079100800001</c:v>
                </c:pt>
                <c:pt idx="3">
                  <c:v>41451.786740400014</c:v>
                </c:pt>
                <c:pt idx="4">
                  <c:v>52057.083368400024</c:v>
                </c:pt>
                <c:pt idx="5">
                  <c:v>62662.379996400035</c:v>
                </c:pt>
                <c:pt idx="6">
                  <c:v>73267.676624400046</c:v>
                </c:pt>
                <c:pt idx="7">
                  <c:v>83872.973252400072</c:v>
                </c:pt>
                <c:pt idx="8">
                  <c:v>94478.269880400083</c:v>
                </c:pt>
              </c:numCache>
            </c:numRef>
          </c:val>
          <c:smooth val="1"/>
          <c:extLst>
            <c:ext xmlns:c16="http://schemas.microsoft.com/office/drawing/2014/chart" uri="{C3380CC4-5D6E-409C-BE32-E72D297353CC}">
              <c16:uniqueId val="{00000001-93A5-664F-BC9F-85D5D4DCD64C}"/>
            </c:ext>
          </c:extLst>
        </c:ser>
        <c:dLbls>
          <c:showLegendKey val="0"/>
          <c:showVal val="0"/>
          <c:showCatName val="0"/>
          <c:showSerName val="0"/>
          <c:showPercent val="0"/>
          <c:showBubbleSize val="0"/>
        </c:dLbls>
        <c:hiLowLines>
          <c:spPr>
            <a:ln w="0">
              <a:noFill/>
            </a:ln>
          </c:spPr>
        </c:hiLowLines>
        <c:smooth val="0"/>
        <c:axId val="47270279"/>
        <c:axId val="92273048"/>
      </c:lineChart>
      <c:catAx>
        <c:axId val="47270279"/>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Aptos Narrow"/>
                  </a:rPr>
                  <a:t>Active Users</a:t>
                </a:r>
              </a:p>
            </c:rich>
          </c:tx>
          <c:overlay val="0"/>
          <c:spPr>
            <a:noFill/>
            <a:ln w="0">
              <a:noFill/>
            </a:ln>
          </c:spPr>
        </c:title>
        <c:numFmt formatCode="#,##0;[Red]\(#,##0\);\-"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92273048"/>
        <c:crosses val="autoZero"/>
        <c:auto val="1"/>
        <c:lblAlgn val="ctr"/>
        <c:lblOffset val="100"/>
        <c:noMultiLvlLbl val="0"/>
      </c:catAx>
      <c:valAx>
        <c:axId val="92273048"/>
        <c:scaling>
          <c:orientation val="minMax"/>
        </c:scaling>
        <c:delete val="0"/>
        <c:axPos val="l"/>
        <c:majorGridlines>
          <c:spPr>
            <a:ln w="12600">
              <a:solidFill>
                <a:srgbClr val="8B8B8B"/>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Aptos Narrow"/>
                  </a:rPr>
                  <a:t>Annual Cost ($)</a:t>
                </a:r>
              </a:p>
            </c:rich>
          </c:tx>
          <c:overlay val="0"/>
          <c:spPr>
            <a:noFill/>
            <a:ln w="0">
              <a:noFill/>
            </a:ln>
          </c:spPr>
        </c:title>
        <c:numFmt formatCode="\$#,##0.00;[Red]&quot;($&quot;#,##0.00\);\-" sourceLinked="1"/>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Aptos Narrow"/>
              </a:defRPr>
            </a:pPr>
            <a:endParaRPr lang="en-US"/>
          </a:p>
        </c:txPr>
        <c:crossAx val="47270279"/>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20</xdr:row>
      <xdr:rowOff>78120</xdr:rowOff>
    </xdr:from>
    <xdr:to>
      <xdr:col>9</xdr:col>
      <xdr:colOff>120240</xdr:colOff>
      <xdr:row>35</xdr:row>
      <xdr:rowOff>43200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2"/>
  <sheetViews>
    <sheetView showGridLines="0" zoomScale="150" zoomScaleNormal="150" workbookViewId="0">
      <pane ySplit="4" topLeftCell="A5" activePane="bottomLeft" state="frozen"/>
      <selection pane="bottomLeft" sqref="A1:H1"/>
    </sheetView>
  </sheetViews>
  <sheetFormatPr baseColWidth="10" defaultColWidth="8.5" defaultRowHeight="15" customHeight="1" x14ac:dyDescent="0.2"/>
  <cols>
    <col min="1" max="1" width="30" customWidth="1"/>
    <col min="2" max="4" width="18" customWidth="1"/>
    <col min="5" max="5" width="24" customWidth="1"/>
    <col min="6" max="8" width="12" customWidth="1"/>
  </cols>
  <sheetData>
    <row r="1" spans="1:8" ht="25.5" customHeight="1" x14ac:dyDescent="0.25">
      <c r="A1" s="6" t="s">
        <v>0</v>
      </c>
      <c r="B1" s="6"/>
      <c r="C1" s="6"/>
      <c r="D1" s="6"/>
      <c r="E1" s="6"/>
      <c r="F1" s="6"/>
      <c r="G1" s="6"/>
      <c r="H1" s="6"/>
    </row>
    <row r="2" spans="1:8" ht="27.75" customHeight="1" x14ac:dyDescent="0.2">
      <c r="A2" s="5" t="s">
        <v>1</v>
      </c>
      <c r="B2" s="5"/>
      <c r="C2" s="5"/>
      <c r="D2" s="5"/>
      <c r="E2" s="5"/>
      <c r="F2" s="5"/>
      <c r="G2" s="5"/>
      <c r="H2" s="5"/>
    </row>
    <row r="4" spans="1:8" ht="19.5" customHeight="1" x14ac:dyDescent="0.2">
      <c r="A4" s="4" t="s">
        <v>2</v>
      </c>
      <c r="B4" s="4"/>
      <c r="C4" s="4"/>
      <c r="D4" s="4"/>
      <c r="E4" s="4"/>
      <c r="F4" s="4"/>
      <c r="G4" s="4"/>
      <c r="H4" s="4"/>
    </row>
    <row r="5" spans="1:8" ht="16" x14ac:dyDescent="0.2">
      <c r="A5" s="7" t="s">
        <v>3</v>
      </c>
      <c r="B5" s="7" t="s">
        <v>4</v>
      </c>
      <c r="C5" s="7" t="s">
        <v>5</v>
      </c>
      <c r="D5" s="7" t="s">
        <v>6</v>
      </c>
      <c r="E5" s="7" t="s">
        <v>7</v>
      </c>
      <c r="F5" s="7"/>
      <c r="G5" s="7"/>
      <c r="H5" s="7"/>
    </row>
    <row r="6" spans="1:8" ht="16" x14ac:dyDescent="0.2">
      <c r="A6" s="8" t="s">
        <v>8</v>
      </c>
      <c r="B6" s="9">
        <f>'Part 3 - Growth &amp; Break-Even'!E6</f>
        <v>3992.0222520000002</v>
      </c>
      <c r="C6" s="9">
        <f>'Part 3 - Growth &amp; Break-Even'!E7</f>
        <v>31907.019775199999</v>
      </c>
      <c r="D6" s="9">
        <f>C6-B6</f>
        <v>27914.9975232</v>
      </c>
      <c r="E6" s="10" t="str">
        <f>IF(B6&lt;C6,"PaaS","IaaS")</f>
        <v>PaaS</v>
      </c>
    </row>
    <row r="7" spans="1:8" ht="16" x14ac:dyDescent="0.2">
      <c r="A7" s="8" t="s">
        <v>9</v>
      </c>
      <c r="B7" s="9">
        <f>'Part 3 - Growth &amp; Break-Even'!H6</f>
        <v>7176.0667560000002</v>
      </c>
      <c r="C7" s="9">
        <f>'Part 3 - Growth &amp; Break-Even'!H7</f>
        <v>34028.079100800001</v>
      </c>
      <c r="D7" s="9">
        <f>C7-B7</f>
        <v>26852.012344800001</v>
      </c>
      <c r="E7" s="10" t="str">
        <f>IF(B7&lt;C7,"PaaS","IaaS")</f>
        <v>PaaS</v>
      </c>
    </row>
    <row r="8" spans="1:8" ht="16" x14ac:dyDescent="0.2">
      <c r="A8" s="8" t="s">
        <v>10</v>
      </c>
      <c r="D8" s="11">
        <f>'Part 3 - Growth &amp; Break-Even'!D16</f>
        <v>267609.47086033312</v>
      </c>
      <c r="E8" s="10" t="str">
        <f>IF(D8&gt;'Inputs &amp; Sources'!C6,"PaaS through Year 2","Review IaaS")</f>
        <v>PaaS through Year 2</v>
      </c>
    </row>
    <row r="11" spans="1:8" ht="19.5" customHeight="1" x14ac:dyDescent="0.2">
      <c r="A11" s="4" t="s">
        <v>11</v>
      </c>
      <c r="B11" s="4"/>
      <c r="C11" s="4"/>
      <c r="D11" s="4"/>
      <c r="E11" s="4"/>
      <c r="F11" s="4"/>
      <c r="G11" s="4"/>
      <c r="H11" s="4"/>
    </row>
    <row r="12" spans="1:8" ht="15" customHeight="1" x14ac:dyDescent="0.2">
      <c r="A12" s="3" t="s">
        <v>12</v>
      </c>
      <c r="B12" s="3"/>
      <c r="C12" s="3"/>
      <c r="D12" s="3"/>
      <c r="E12" s="3"/>
      <c r="F12" s="3"/>
      <c r="G12" s="3"/>
      <c r="H12" s="3"/>
    </row>
    <row r="13" spans="1:8" ht="16" x14ac:dyDescent="0.2">
      <c r="A13" s="3"/>
      <c r="B13" s="3"/>
      <c r="C13" s="3"/>
      <c r="D13" s="3"/>
      <c r="E13" s="3"/>
      <c r="F13" s="3"/>
      <c r="G13" s="3"/>
      <c r="H13" s="3"/>
    </row>
    <row r="14" spans="1:8" ht="16" x14ac:dyDescent="0.2">
      <c r="A14" s="3"/>
      <c r="B14" s="3"/>
      <c r="C14" s="3"/>
      <c r="D14" s="3"/>
      <c r="E14" s="3"/>
      <c r="F14" s="3"/>
      <c r="G14" s="3"/>
      <c r="H14" s="3"/>
    </row>
    <row r="15" spans="1:8" ht="16" x14ac:dyDescent="0.2">
      <c r="A15" s="3"/>
      <c r="B15" s="3"/>
      <c r="C15" s="3"/>
      <c r="D15" s="3"/>
      <c r="E15" s="3"/>
      <c r="F15" s="3"/>
      <c r="G15" s="3"/>
      <c r="H15" s="3"/>
    </row>
    <row r="18" spans="1:8" ht="19.5" customHeight="1" x14ac:dyDescent="0.2">
      <c r="A18" s="4" t="s">
        <v>13</v>
      </c>
      <c r="B18" s="4"/>
      <c r="C18" s="4"/>
      <c r="D18" s="4"/>
      <c r="E18" s="4"/>
      <c r="F18" s="4"/>
      <c r="G18" s="4"/>
      <c r="H18" s="4"/>
    </row>
    <row r="19" spans="1:8" ht="15" customHeight="1" x14ac:dyDescent="0.2">
      <c r="A19" s="2" t="s">
        <v>14</v>
      </c>
      <c r="B19" s="2"/>
      <c r="C19" s="2"/>
      <c r="D19" s="2"/>
      <c r="E19" s="2"/>
      <c r="F19" s="2"/>
      <c r="G19" s="2"/>
      <c r="H19" s="2"/>
    </row>
    <row r="20" spans="1:8" ht="16" x14ac:dyDescent="0.2">
      <c r="A20" s="2"/>
      <c r="B20" s="2"/>
      <c r="C20" s="2"/>
      <c r="D20" s="2"/>
      <c r="E20" s="2"/>
      <c r="F20" s="2"/>
      <c r="G20" s="2"/>
      <c r="H20" s="2"/>
    </row>
    <row r="21" spans="1:8" ht="16" x14ac:dyDescent="0.2">
      <c r="A21" s="2"/>
      <c r="B21" s="2"/>
      <c r="C21" s="2"/>
      <c r="D21" s="2"/>
      <c r="E21" s="2"/>
      <c r="F21" s="2"/>
      <c r="G21" s="2"/>
      <c r="H21" s="2"/>
    </row>
    <row r="22" spans="1:8" ht="16" x14ac:dyDescent="0.2">
      <c r="A22" s="2"/>
      <c r="B22" s="2"/>
      <c r="C22" s="2"/>
      <c r="D22" s="2"/>
      <c r="E22" s="2"/>
      <c r="F22" s="2"/>
      <c r="G22" s="2"/>
      <c r="H22" s="2"/>
    </row>
  </sheetData>
  <mergeCells count="7">
    <mergeCell ref="A18:H18"/>
    <mergeCell ref="A19:H22"/>
    <mergeCell ref="A1:H1"/>
    <mergeCell ref="A2:H2"/>
    <mergeCell ref="A4:H4"/>
    <mergeCell ref="A11:H11"/>
    <mergeCell ref="A12:H15"/>
  </mergeCells>
  <printOptions horizontalCentered="1"/>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3"/>
  <sheetViews>
    <sheetView showGridLines="0" zoomScale="130" zoomScaleNormal="130" workbookViewId="0">
      <pane ySplit="4" topLeftCell="A5" activePane="bottomLeft" state="frozen"/>
      <selection pane="bottomLeft" activeCell="E20" sqref="E20"/>
    </sheetView>
  </sheetViews>
  <sheetFormatPr baseColWidth="10" defaultColWidth="8.5" defaultRowHeight="15" customHeight="1" x14ac:dyDescent="0.2"/>
  <cols>
    <col min="1" max="1" width="34" customWidth="1"/>
    <col min="2" max="2" width="16" customWidth="1"/>
    <col min="3" max="3" width="18" customWidth="1"/>
    <col min="4" max="4" width="40" customWidth="1"/>
    <col min="5" max="5" width="58" customWidth="1"/>
  </cols>
  <sheetData>
    <row r="1" spans="1:8" ht="25.5" customHeight="1" x14ac:dyDescent="0.25">
      <c r="A1" s="6" t="s">
        <v>15</v>
      </c>
      <c r="B1" s="6"/>
      <c r="C1" s="6"/>
      <c r="D1" s="6"/>
      <c r="E1" s="6"/>
      <c r="F1" s="6"/>
      <c r="G1" s="6"/>
      <c r="H1" s="6"/>
    </row>
    <row r="2" spans="1:8" ht="27.75" customHeight="1" x14ac:dyDescent="0.2">
      <c r="A2" s="5" t="s">
        <v>16</v>
      </c>
      <c r="B2" s="5"/>
      <c r="C2" s="5"/>
      <c r="D2" s="5"/>
      <c r="E2" s="5"/>
      <c r="F2" s="5"/>
      <c r="G2" s="5"/>
      <c r="H2" s="5"/>
    </row>
    <row r="4" spans="1:8" ht="19.5" customHeight="1" x14ac:dyDescent="0.2">
      <c r="A4" s="4" t="s">
        <v>17</v>
      </c>
      <c r="B4" s="4"/>
      <c r="C4" s="4"/>
      <c r="D4" s="4"/>
      <c r="E4" s="4"/>
      <c r="F4" s="4"/>
      <c r="G4" s="4"/>
      <c r="H4" s="4"/>
    </row>
    <row r="5" spans="1:8" ht="16" x14ac:dyDescent="0.2">
      <c r="A5" s="7" t="s">
        <v>18</v>
      </c>
      <c r="B5" s="7" t="s">
        <v>19</v>
      </c>
      <c r="C5" s="7" t="s">
        <v>20</v>
      </c>
      <c r="D5" s="7" t="s">
        <v>21</v>
      </c>
      <c r="E5" s="7" t="s">
        <v>22</v>
      </c>
      <c r="F5" s="7"/>
      <c r="G5" s="7"/>
      <c r="H5" s="7"/>
    </row>
    <row r="6" spans="1:8" ht="16" x14ac:dyDescent="0.2">
      <c r="A6" s="8" t="s">
        <v>23</v>
      </c>
      <c r="B6" s="12">
        <v>5000</v>
      </c>
      <c r="C6" s="12">
        <v>15000</v>
      </c>
      <c r="D6" s="8" t="s">
        <v>24</v>
      </c>
      <c r="E6" s="8" t="s">
        <v>25</v>
      </c>
    </row>
    <row r="7" spans="1:8" ht="16" x14ac:dyDescent="0.2">
      <c r="A7" s="8" t="s">
        <v>26</v>
      </c>
      <c r="B7" s="12">
        <v>1000</v>
      </c>
      <c r="C7" s="12">
        <v>3000</v>
      </c>
      <c r="D7" s="8" t="s">
        <v>24</v>
      </c>
      <c r="E7" s="8" t="s">
        <v>27</v>
      </c>
    </row>
    <row r="8" spans="1:8" ht="16" x14ac:dyDescent="0.2">
      <c r="A8" s="8" t="s">
        <v>28</v>
      </c>
      <c r="B8" s="12">
        <v>100</v>
      </c>
      <c r="C8" s="12">
        <v>300</v>
      </c>
      <c r="D8" s="8" t="s">
        <v>29</v>
      </c>
      <c r="E8" s="8" t="s">
        <v>30</v>
      </c>
    </row>
    <row r="9" spans="1:8" ht="16" x14ac:dyDescent="0.2">
      <c r="A9" s="8" t="s">
        <v>31</v>
      </c>
      <c r="B9" s="13">
        <v>0.25</v>
      </c>
      <c r="C9" s="13">
        <v>0.25</v>
      </c>
      <c r="D9" s="8" t="s">
        <v>32</v>
      </c>
      <c r="E9" s="8" t="s">
        <v>33</v>
      </c>
    </row>
    <row r="10" spans="1:8" ht="16" x14ac:dyDescent="0.2">
      <c r="A10" s="8" t="s">
        <v>34</v>
      </c>
      <c r="B10" s="12">
        <v>100</v>
      </c>
      <c r="C10" s="12">
        <v>100</v>
      </c>
      <c r="D10" s="8" t="s">
        <v>35</v>
      </c>
      <c r="E10" s="8" t="s">
        <v>36</v>
      </c>
    </row>
    <row r="11" spans="1:8" ht="16" x14ac:dyDescent="0.2">
      <c r="A11" s="8" t="s">
        <v>37</v>
      </c>
      <c r="B11" s="12">
        <v>130</v>
      </c>
      <c r="C11" s="12">
        <v>130</v>
      </c>
      <c r="D11" s="8" t="s">
        <v>35</v>
      </c>
      <c r="E11" s="8" t="s">
        <v>38</v>
      </c>
    </row>
    <row r="12" spans="1:8" ht="16" x14ac:dyDescent="0.2">
      <c r="A12" s="8" t="s">
        <v>39</v>
      </c>
      <c r="B12" s="12">
        <v>2</v>
      </c>
      <c r="C12" s="12">
        <v>2</v>
      </c>
      <c r="D12" s="8" t="s">
        <v>40</v>
      </c>
      <c r="E12" s="8" t="s">
        <v>41</v>
      </c>
    </row>
    <row r="13" spans="1:8" ht="16" x14ac:dyDescent="0.2">
      <c r="A13" s="8" t="s">
        <v>42</v>
      </c>
      <c r="B13" s="12">
        <v>20</v>
      </c>
      <c r="C13" s="12">
        <v>20</v>
      </c>
      <c r="D13" s="8" t="s">
        <v>40</v>
      </c>
      <c r="E13" s="8" t="s">
        <v>41</v>
      </c>
    </row>
    <row r="14" spans="1:8" ht="16" x14ac:dyDescent="0.2">
      <c r="A14" s="8" t="s">
        <v>43</v>
      </c>
      <c r="B14" s="12">
        <v>8760</v>
      </c>
      <c r="C14" s="12">
        <v>8760</v>
      </c>
      <c r="D14" s="8" t="s">
        <v>44</v>
      </c>
      <c r="E14" s="8" t="s">
        <v>45</v>
      </c>
    </row>
    <row r="15" spans="1:8" ht="16" x14ac:dyDescent="0.2">
      <c r="A15" s="8" t="s">
        <v>46</v>
      </c>
      <c r="B15" s="12">
        <v>12</v>
      </c>
      <c r="C15" s="12">
        <v>12</v>
      </c>
      <c r="D15" s="8" t="s">
        <v>47</v>
      </c>
      <c r="E15" s="8" t="s">
        <v>48</v>
      </c>
    </row>
    <row r="16" spans="1:8" ht="16" x14ac:dyDescent="0.2">
      <c r="A16" s="8" t="s">
        <v>49</v>
      </c>
      <c r="B16" s="12">
        <v>730</v>
      </c>
      <c r="C16" s="12">
        <v>730</v>
      </c>
      <c r="D16" s="8" t="s">
        <v>44</v>
      </c>
      <c r="E16" s="8" t="s">
        <v>50</v>
      </c>
    </row>
    <row r="18" spans="1:8" ht="19.5" customHeight="1" x14ac:dyDescent="0.2">
      <c r="A18" s="4" t="s">
        <v>51</v>
      </c>
      <c r="B18" s="4"/>
      <c r="C18" s="4"/>
      <c r="D18" s="4"/>
      <c r="E18" s="4"/>
      <c r="F18" s="4"/>
      <c r="G18" s="4"/>
      <c r="H18" s="4"/>
    </row>
    <row r="19" spans="1:8" ht="16" x14ac:dyDescent="0.2">
      <c r="A19" s="7" t="s">
        <v>52</v>
      </c>
      <c r="B19" s="7" t="s">
        <v>53</v>
      </c>
      <c r="C19" s="7" t="s">
        <v>21</v>
      </c>
      <c r="D19" s="7" t="s">
        <v>54</v>
      </c>
      <c r="E19" s="7" t="s">
        <v>55</v>
      </c>
      <c r="F19" s="7"/>
      <c r="G19" s="7"/>
      <c r="H19" s="7"/>
    </row>
    <row r="20" spans="1:8" ht="16" x14ac:dyDescent="0.2">
      <c r="A20" s="8" t="s">
        <v>56</v>
      </c>
      <c r="B20" s="14">
        <v>4.1300000000000003E-2</v>
      </c>
      <c r="C20" s="8" t="s">
        <v>57</v>
      </c>
      <c r="D20" s="8" t="s">
        <v>58</v>
      </c>
      <c r="E20" s="15" t="s">
        <v>59</v>
      </c>
    </row>
    <row r="21" spans="1:8" ht="16" x14ac:dyDescent="0.2">
      <c r="A21" s="8" t="s">
        <v>60</v>
      </c>
      <c r="B21" s="14">
        <v>7.0000000000000001E-3</v>
      </c>
      <c r="C21" s="8" t="s">
        <v>61</v>
      </c>
      <c r="D21" s="8" t="s">
        <v>62</v>
      </c>
      <c r="E21" s="15" t="s">
        <v>59</v>
      </c>
    </row>
    <row r="22" spans="1:8" ht="16" x14ac:dyDescent="0.2">
      <c r="A22" s="8" t="s">
        <v>63</v>
      </c>
      <c r="B22" s="14">
        <v>2.3287700000000001E-4</v>
      </c>
      <c r="C22" s="8" t="s">
        <v>61</v>
      </c>
      <c r="D22" s="8" t="s">
        <v>64</v>
      </c>
      <c r="E22" s="15" t="s">
        <v>59</v>
      </c>
    </row>
    <row r="23" spans="1:8" ht="16" x14ac:dyDescent="0.2">
      <c r="A23" s="8" t="s">
        <v>65</v>
      </c>
      <c r="B23" s="14">
        <v>2.4000000000000001E-5</v>
      </c>
      <c r="C23" s="8" t="s">
        <v>66</v>
      </c>
      <c r="D23" s="8" t="s">
        <v>67</v>
      </c>
      <c r="E23" s="15" t="s">
        <v>68</v>
      </c>
    </row>
    <row r="24" spans="1:8" ht="16" x14ac:dyDescent="0.2">
      <c r="A24" s="8" t="s">
        <v>69</v>
      </c>
      <c r="B24" s="14">
        <v>2.5000000000000002E-6</v>
      </c>
      <c r="C24" s="8" t="s">
        <v>70</v>
      </c>
      <c r="D24" s="8" t="s">
        <v>71</v>
      </c>
      <c r="E24" s="15" t="s">
        <v>68</v>
      </c>
    </row>
    <row r="25" spans="1:8" ht="16" x14ac:dyDescent="0.2">
      <c r="A25" s="8" t="s">
        <v>72</v>
      </c>
      <c r="B25" s="14">
        <v>6.7011420000000002E-2</v>
      </c>
      <c r="C25" s="8" t="s">
        <v>35</v>
      </c>
      <c r="D25" s="8" t="s">
        <v>73</v>
      </c>
      <c r="E25" s="15" t="s">
        <v>74</v>
      </c>
    </row>
    <row r="26" spans="1:8" ht="16" x14ac:dyDescent="0.2">
      <c r="A26" s="8" t="s">
        <v>75</v>
      </c>
      <c r="B26" s="14">
        <v>1.3698599999999999E-4</v>
      </c>
      <c r="C26" s="8" t="s">
        <v>61</v>
      </c>
      <c r="D26" s="8" t="s">
        <v>64</v>
      </c>
      <c r="E26" s="15" t="s">
        <v>76</v>
      </c>
    </row>
    <row r="28" spans="1:8" ht="19.5" customHeight="1" x14ac:dyDescent="0.2">
      <c r="A28" s="4" t="s">
        <v>77</v>
      </c>
      <c r="B28" s="4"/>
      <c r="C28" s="4"/>
      <c r="D28" s="4"/>
      <c r="E28" s="4"/>
      <c r="F28" s="4"/>
      <c r="G28" s="4"/>
      <c r="H28" s="4"/>
    </row>
    <row r="29" spans="1:8" ht="16" x14ac:dyDescent="0.2">
      <c r="A29" s="7" t="s">
        <v>78</v>
      </c>
      <c r="B29" s="7" t="s">
        <v>79</v>
      </c>
      <c r="C29" s="7" t="s">
        <v>21</v>
      </c>
      <c r="D29" s="7" t="s">
        <v>80</v>
      </c>
      <c r="E29" s="7"/>
      <c r="F29" s="7"/>
      <c r="G29" s="7"/>
      <c r="H29" s="7"/>
    </row>
    <row r="30" spans="1:8" ht="16" x14ac:dyDescent="0.2">
      <c r="A30" s="8" t="s">
        <v>81</v>
      </c>
      <c r="B30" s="12">
        <v>3</v>
      </c>
      <c r="C30" s="8" t="s">
        <v>82</v>
      </c>
      <c r="D30" s="8" t="s">
        <v>83</v>
      </c>
    </row>
    <row r="31" spans="1:8" ht="16" x14ac:dyDescent="0.2">
      <c r="A31" s="8" t="s">
        <v>84</v>
      </c>
      <c r="B31" s="12">
        <v>4</v>
      </c>
      <c r="C31" s="8" t="s">
        <v>82</v>
      </c>
      <c r="D31" s="8" t="s">
        <v>85</v>
      </c>
    </row>
    <row r="32" spans="1:8" ht="16" x14ac:dyDescent="0.2">
      <c r="A32" s="8" t="s">
        <v>86</v>
      </c>
      <c r="B32" s="12">
        <v>1</v>
      </c>
      <c r="C32" s="8" t="s">
        <v>82</v>
      </c>
      <c r="D32" s="8" t="s">
        <v>87</v>
      </c>
    </row>
    <row r="33" spans="1:4" ht="16" x14ac:dyDescent="0.2">
      <c r="A33" s="8" t="s">
        <v>88</v>
      </c>
      <c r="B33" s="12">
        <v>1</v>
      </c>
      <c r="C33" s="8" t="s">
        <v>82</v>
      </c>
      <c r="D33" s="8" t="s">
        <v>89</v>
      </c>
    </row>
  </sheetData>
  <mergeCells count="5">
    <mergeCell ref="A1:H1"/>
    <mergeCell ref="A2:H2"/>
    <mergeCell ref="A4:H4"/>
    <mergeCell ref="A18:H18"/>
    <mergeCell ref="A28:H28"/>
  </mergeCells>
  <printOptions horizontalCentered="1"/>
  <pageMargins left="0.75" right="0.75" top="1" bottom="1" header="0.511811023622047" footer="0.511811023622047"/>
  <pageSetup fitToHeight="0"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21"/>
  <sheetViews>
    <sheetView showGridLines="0" zoomScale="140" zoomScaleNormal="140" workbookViewId="0">
      <pane ySplit="4" topLeftCell="A5" activePane="bottomLeft" state="frozen"/>
      <selection pane="bottomLeft" sqref="A1:G1"/>
    </sheetView>
  </sheetViews>
  <sheetFormatPr baseColWidth="10" defaultColWidth="8.5" defaultRowHeight="15" customHeight="1" x14ac:dyDescent="0.2"/>
  <cols>
    <col min="1" max="1" width="28" customWidth="1"/>
    <col min="2" max="2" width="13" customWidth="1"/>
    <col min="3" max="3" width="15" customWidth="1"/>
    <col min="4" max="4" width="18" customWidth="1"/>
    <col min="5" max="6" width="16" customWidth="1"/>
    <col min="7" max="7" width="34" customWidth="1"/>
  </cols>
  <sheetData>
    <row r="1" spans="1:7" ht="25.5" customHeight="1" x14ac:dyDescent="0.25">
      <c r="A1" s="6" t="s">
        <v>90</v>
      </c>
      <c r="B1" s="6"/>
      <c r="C1" s="6"/>
      <c r="D1" s="6"/>
      <c r="E1" s="6"/>
      <c r="F1" s="6"/>
      <c r="G1" s="6"/>
    </row>
    <row r="2" spans="1:7" ht="27.75" customHeight="1" x14ac:dyDescent="0.2">
      <c r="A2" s="5" t="s">
        <v>91</v>
      </c>
      <c r="B2" s="5"/>
      <c r="C2" s="5"/>
      <c r="D2" s="5"/>
      <c r="E2" s="5"/>
      <c r="F2" s="5"/>
      <c r="G2" s="5"/>
    </row>
    <row r="4" spans="1:7" ht="19.5" customHeight="1" x14ac:dyDescent="0.2">
      <c r="A4" s="4" t="s">
        <v>92</v>
      </c>
      <c r="B4" s="4"/>
      <c r="C4" s="4"/>
      <c r="D4" s="4"/>
      <c r="E4" s="4"/>
      <c r="F4" s="4"/>
      <c r="G4" s="4"/>
    </row>
    <row r="5" spans="1:7" ht="16" x14ac:dyDescent="0.2">
      <c r="A5" s="7" t="s">
        <v>93</v>
      </c>
      <c r="B5" s="7" t="s">
        <v>94</v>
      </c>
      <c r="C5" s="7" t="s">
        <v>53</v>
      </c>
      <c r="D5" s="7" t="s">
        <v>95</v>
      </c>
      <c r="E5" s="7" t="s">
        <v>96</v>
      </c>
      <c r="F5" s="7" t="s">
        <v>97</v>
      </c>
      <c r="G5" s="7" t="s">
        <v>22</v>
      </c>
    </row>
    <row r="6" spans="1:7" ht="16" x14ac:dyDescent="0.2">
      <c r="A6" s="8" t="s">
        <v>56</v>
      </c>
      <c r="B6" s="8">
        <v>1</v>
      </c>
      <c r="C6" s="16">
        <f>'Inputs &amp; Sources'!B20</f>
        <v>4.1300000000000003E-2</v>
      </c>
      <c r="D6" s="9">
        <f>B6*C6*'Inputs &amp; Sources'!B16</f>
        <v>30.149000000000001</v>
      </c>
      <c r="E6" s="9">
        <f>D6</f>
        <v>30.149000000000001</v>
      </c>
      <c r="F6" s="9">
        <f>E6*'Inputs &amp; Sources'!B15</f>
        <v>361.78800000000001</v>
      </c>
      <c r="G6" s="8" t="s">
        <v>58</v>
      </c>
    </row>
    <row r="7" spans="1:7" ht="16" x14ac:dyDescent="0.2">
      <c r="A7" s="8" t="s">
        <v>60</v>
      </c>
      <c r="B7" s="8">
        <v>3.75</v>
      </c>
      <c r="C7" s="16">
        <f>'Inputs &amp; Sources'!B21</f>
        <v>7.0000000000000001E-3</v>
      </c>
      <c r="D7" s="9">
        <f>B7*C7*'Inputs &amp; Sources'!B16</f>
        <v>19.162499999999998</v>
      </c>
      <c r="E7" s="9">
        <f>D7</f>
        <v>19.162499999999998</v>
      </c>
      <c r="F7" s="9">
        <f>E7*'Inputs &amp; Sources'!B15</f>
        <v>229.95</v>
      </c>
      <c r="G7" s="8" t="s">
        <v>62</v>
      </c>
    </row>
    <row r="8" spans="1:7" ht="16" x14ac:dyDescent="0.2">
      <c r="A8" s="8" t="s">
        <v>63</v>
      </c>
      <c r="B8" s="8">
        <v>100</v>
      </c>
      <c r="C8" s="16">
        <f>'Inputs &amp; Sources'!B22</f>
        <v>2.3287700000000001E-4</v>
      </c>
      <c r="D8" s="9">
        <f>B8*C8*'Inputs &amp; Sources'!B16</f>
        <v>17.000021</v>
      </c>
      <c r="E8" s="9">
        <f>D8</f>
        <v>17.000021</v>
      </c>
      <c r="F8" s="9">
        <f>E8*'Inputs &amp; Sources'!B15</f>
        <v>204.00025199999999</v>
      </c>
      <c r="G8" s="8" t="s">
        <v>64</v>
      </c>
    </row>
    <row r="9" spans="1:7" ht="16" x14ac:dyDescent="0.2">
      <c r="A9" s="8" t="s">
        <v>65</v>
      </c>
      <c r="B9" s="8">
        <v>1</v>
      </c>
      <c r="C9" s="16">
        <f>'Inputs &amp; Sources'!B23</f>
        <v>2.4000000000000001E-5</v>
      </c>
      <c r="D9" s="9">
        <f>B9*C9*3600</f>
        <v>8.6400000000000005E-2</v>
      </c>
      <c r="E9" s="9">
        <f>D9*'Inputs &amp; Sources'!B16</f>
        <v>63.072000000000003</v>
      </c>
      <c r="F9" s="9">
        <f>D9*'Inputs &amp; Sources'!B14</f>
        <v>756.86400000000003</v>
      </c>
      <c r="G9" s="8" t="s">
        <v>98</v>
      </c>
    </row>
    <row r="10" spans="1:7" ht="16" x14ac:dyDescent="0.2">
      <c r="A10" s="8" t="s">
        <v>69</v>
      </c>
      <c r="B10" s="8">
        <v>0.5</v>
      </c>
      <c r="C10" s="16">
        <f>'Inputs &amp; Sources'!B24</f>
        <v>2.5000000000000002E-6</v>
      </c>
      <c r="D10" s="9">
        <f>B10*C10*3600</f>
        <v>4.5000000000000005E-3</v>
      </c>
      <c r="E10" s="9">
        <f>D10*'Inputs &amp; Sources'!B16</f>
        <v>3.2850000000000006</v>
      </c>
      <c r="F10" s="9">
        <f>D10*'Inputs &amp; Sources'!B14</f>
        <v>39.42</v>
      </c>
      <c r="G10" s="8" t="s">
        <v>99</v>
      </c>
    </row>
    <row r="11" spans="1:7" ht="16" x14ac:dyDescent="0.2">
      <c r="A11" s="8" t="s">
        <v>100</v>
      </c>
      <c r="B11" s="17">
        <f>'Inputs &amp; Sources'!B12</f>
        <v>2</v>
      </c>
      <c r="C11" s="16">
        <f>'Inputs &amp; Sources'!B10</f>
        <v>100</v>
      </c>
      <c r="D11" s="9">
        <f>B11*C11</f>
        <v>200</v>
      </c>
      <c r="E11" s="9">
        <f>D11</f>
        <v>200</v>
      </c>
      <c r="F11" s="9">
        <f>E11*'Inputs &amp; Sources'!B15</f>
        <v>2400</v>
      </c>
      <c r="G11" s="8" t="s">
        <v>101</v>
      </c>
    </row>
    <row r="13" spans="1:7" ht="16" x14ac:dyDescent="0.2">
      <c r="A13" s="18" t="s">
        <v>102</v>
      </c>
      <c r="B13" s="19"/>
      <c r="C13" s="19"/>
      <c r="D13" s="19"/>
      <c r="E13" s="20">
        <f>SUM(E6:E8)</f>
        <v>66.311520999999999</v>
      </c>
      <c r="F13" s="20">
        <f>SUM(F6:F8)</f>
        <v>795.7382520000001</v>
      </c>
    </row>
    <row r="14" spans="1:7" ht="16" x14ac:dyDescent="0.2">
      <c r="A14" s="18" t="s">
        <v>103</v>
      </c>
      <c r="B14" s="19"/>
      <c r="C14" s="19"/>
      <c r="D14" s="19"/>
      <c r="E14" s="20">
        <f>SUM(E9:E10)</f>
        <v>66.356999999999999</v>
      </c>
      <c r="F14" s="20">
        <f>SUM(F9:F10)</f>
        <v>796.28399999999999</v>
      </c>
    </row>
    <row r="15" spans="1:7" ht="16" x14ac:dyDescent="0.2">
      <c r="A15" s="21" t="s">
        <v>104</v>
      </c>
      <c r="B15" s="19"/>
      <c r="C15" s="19"/>
      <c r="D15" s="19"/>
      <c r="E15" s="20">
        <f>SUM(E13:E14)+E11</f>
        <v>332.668521</v>
      </c>
      <c r="F15" s="22">
        <f>SUM(F13:F14)+F11</f>
        <v>3992.0222520000002</v>
      </c>
    </row>
    <row r="18" spans="1:7" ht="19.5" customHeight="1" x14ac:dyDescent="0.2">
      <c r="A18" s="4" t="s">
        <v>105</v>
      </c>
      <c r="B18" s="4"/>
      <c r="C18" s="4"/>
      <c r="D18" s="4"/>
      <c r="E18" s="4"/>
      <c r="F18" s="4"/>
      <c r="G18" s="4"/>
    </row>
    <row r="19" spans="1:7" ht="15" customHeight="1" x14ac:dyDescent="0.2">
      <c r="A19" s="2" t="s">
        <v>106</v>
      </c>
      <c r="B19" s="2"/>
      <c r="C19" s="2"/>
      <c r="D19" s="2"/>
      <c r="E19" s="2"/>
      <c r="F19" s="2"/>
      <c r="G19" s="2"/>
    </row>
    <row r="20" spans="1:7" ht="16" x14ac:dyDescent="0.2">
      <c r="A20" s="2"/>
      <c r="B20" s="2"/>
      <c r="C20" s="2"/>
      <c r="D20" s="2"/>
      <c r="E20" s="2"/>
      <c r="F20" s="2"/>
      <c r="G20" s="2"/>
    </row>
    <row r="21" spans="1:7" ht="16" x14ac:dyDescent="0.2">
      <c r="A21" s="2"/>
      <c r="B21" s="2"/>
      <c r="C21" s="2"/>
      <c r="D21" s="2"/>
      <c r="E21" s="2"/>
      <c r="F21" s="2"/>
      <c r="G21" s="2"/>
    </row>
  </sheetData>
  <mergeCells count="5">
    <mergeCell ref="A1:G1"/>
    <mergeCell ref="A2:G2"/>
    <mergeCell ref="A4:G4"/>
    <mergeCell ref="A18:G18"/>
    <mergeCell ref="A19:G21"/>
  </mergeCells>
  <printOptions horizontalCentered="1"/>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8"/>
  <sheetViews>
    <sheetView showGridLines="0" zoomScale="130" zoomScaleNormal="130" workbookViewId="0">
      <pane ySplit="4" topLeftCell="A5" activePane="bottomLeft" state="frozen"/>
      <selection pane="bottomLeft" sqref="A1:G1"/>
    </sheetView>
  </sheetViews>
  <sheetFormatPr baseColWidth="10" defaultColWidth="8.5" defaultRowHeight="15" customHeight="1" x14ac:dyDescent="0.2"/>
  <cols>
    <col min="1" max="1" width="28" customWidth="1"/>
    <col min="2" max="2" width="13" customWidth="1"/>
    <col min="3" max="3" width="15" customWidth="1"/>
    <col min="4" max="4" width="18" customWidth="1"/>
    <col min="5" max="6" width="16" customWidth="1"/>
    <col min="7" max="7" width="34" customWidth="1"/>
  </cols>
  <sheetData>
    <row r="1" spans="1:7" ht="25.5" customHeight="1" x14ac:dyDescent="0.25">
      <c r="A1" s="6" t="s">
        <v>107</v>
      </c>
      <c r="B1" s="6"/>
      <c r="C1" s="6"/>
      <c r="D1" s="6"/>
      <c r="E1" s="6"/>
      <c r="F1" s="6"/>
      <c r="G1" s="6"/>
    </row>
    <row r="2" spans="1:7" ht="27.75" customHeight="1" x14ac:dyDescent="0.2">
      <c r="A2" s="5" t="s">
        <v>108</v>
      </c>
      <c r="B2" s="5"/>
      <c r="C2" s="5"/>
      <c r="D2" s="5"/>
      <c r="E2" s="5"/>
      <c r="F2" s="5"/>
      <c r="G2" s="5"/>
    </row>
    <row r="4" spans="1:7" ht="19.5" customHeight="1" x14ac:dyDescent="0.2">
      <c r="A4" s="4" t="s">
        <v>92</v>
      </c>
      <c r="B4" s="4"/>
      <c r="C4" s="4"/>
      <c r="D4" s="4"/>
      <c r="E4" s="4"/>
      <c r="F4" s="4"/>
      <c r="G4" s="4"/>
    </row>
    <row r="5" spans="1:7" ht="16" x14ac:dyDescent="0.2">
      <c r="A5" s="7" t="s">
        <v>93</v>
      </c>
      <c r="B5" s="7" t="s">
        <v>94</v>
      </c>
      <c r="C5" s="7" t="s">
        <v>53</v>
      </c>
      <c r="D5" s="7" t="s">
        <v>95</v>
      </c>
      <c r="E5" s="7" t="s">
        <v>96</v>
      </c>
      <c r="F5" s="7" t="s">
        <v>97</v>
      </c>
      <c r="G5" s="7" t="s">
        <v>22</v>
      </c>
    </row>
    <row r="6" spans="1:7" ht="16" x14ac:dyDescent="0.2">
      <c r="A6" s="8" t="s">
        <v>109</v>
      </c>
      <c r="B6" s="8">
        <v>1</v>
      </c>
      <c r="C6" s="16">
        <f>'Inputs &amp; Sources'!B25</f>
        <v>6.7011420000000002E-2</v>
      </c>
      <c r="D6" s="9">
        <f>B6*C6</f>
        <v>6.7011420000000002E-2</v>
      </c>
      <c r="E6" s="9">
        <f>D6*'Inputs &amp; Sources'!B16</f>
        <v>48.918336600000004</v>
      </c>
      <c r="F6" s="9">
        <f>D6*'Inputs &amp; Sources'!B14</f>
        <v>587.02003920000004</v>
      </c>
      <c r="G6" s="8" t="s">
        <v>110</v>
      </c>
    </row>
    <row r="7" spans="1:7" ht="16" x14ac:dyDescent="0.2">
      <c r="A7" s="8" t="s">
        <v>75</v>
      </c>
      <c r="B7" s="8">
        <v>100</v>
      </c>
      <c r="C7" s="16">
        <f>'Inputs &amp; Sources'!B26</f>
        <v>1.3698599999999999E-4</v>
      </c>
      <c r="D7" s="9">
        <f>B7*C7</f>
        <v>1.36986E-2</v>
      </c>
      <c r="E7" s="9">
        <f>D7*'Inputs &amp; Sources'!B16</f>
        <v>9.9999780000000005</v>
      </c>
      <c r="F7" s="9">
        <f>D7*'Inputs &amp; Sources'!B14</f>
        <v>119.999736</v>
      </c>
      <c r="G7" s="8" t="s">
        <v>64</v>
      </c>
    </row>
    <row r="8" spans="1:7" ht="16" x14ac:dyDescent="0.2">
      <c r="A8" s="8" t="s">
        <v>100</v>
      </c>
      <c r="B8" s="17">
        <f>'Inputs &amp; Sources'!B13</f>
        <v>20</v>
      </c>
      <c r="C8" s="16">
        <f>'Inputs &amp; Sources'!B11</f>
        <v>130</v>
      </c>
      <c r="D8" s="9">
        <f>B8*C8</f>
        <v>2600</v>
      </c>
      <c r="E8" s="9">
        <f>D8</f>
        <v>2600</v>
      </c>
      <c r="F8" s="9">
        <f>E8*'Inputs &amp; Sources'!B15</f>
        <v>31200</v>
      </c>
      <c r="G8" s="8" t="s">
        <v>111</v>
      </c>
    </row>
    <row r="10" spans="1:7" ht="16" x14ac:dyDescent="0.2">
      <c r="A10" s="18" t="s">
        <v>112</v>
      </c>
      <c r="B10" s="19"/>
      <c r="C10" s="19"/>
      <c r="D10" s="19"/>
      <c r="E10" s="20">
        <f>SUM(E6:E7)</f>
        <v>58.918314600000002</v>
      </c>
      <c r="F10" s="20">
        <f>SUM(F6:F7)</f>
        <v>707.01977520000003</v>
      </c>
    </row>
    <row r="11" spans="1:7" ht="16" x14ac:dyDescent="0.2">
      <c r="A11" s="23" t="s">
        <v>113</v>
      </c>
      <c r="B11" s="19"/>
      <c r="C11" s="19"/>
      <c r="D11" s="19"/>
      <c r="E11" s="20">
        <f>E10+E8</f>
        <v>2658.9183146</v>
      </c>
      <c r="F11" s="24">
        <f>F10+F8</f>
        <v>31907.019775199999</v>
      </c>
    </row>
    <row r="14" spans="1:7" ht="19.5" customHeight="1" x14ac:dyDescent="0.2">
      <c r="A14" s="4" t="s">
        <v>105</v>
      </c>
      <c r="B14" s="4"/>
      <c r="C14" s="4"/>
      <c r="D14" s="4"/>
      <c r="E14" s="4"/>
      <c r="F14" s="4"/>
      <c r="G14" s="4"/>
    </row>
    <row r="15" spans="1:7" ht="15" customHeight="1" x14ac:dyDescent="0.2">
      <c r="A15" s="2" t="s">
        <v>114</v>
      </c>
      <c r="B15" s="2"/>
      <c r="C15" s="2"/>
      <c r="D15" s="2"/>
      <c r="E15" s="2"/>
      <c r="F15" s="2"/>
      <c r="G15" s="2"/>
    </row>
    <row r="16" spans="1:7" ht="16" x14ac:dyDescent="0.2">
      <c r="A16" s="2"/>
      <c r="B16" s="2"/>
      <c r="C16" s="2"/>
      <c r="D16" s="2"/>
      <c r="E16" s="2"/>
      <c r="F16" s="2"/>
      <c r="G16" s="2"/>
    </row>
    <row r="17" spans="1:7" ht="16" x14ac:dyDescent="0.2">
      <c r="A17" s="2"/>
      <c r="B17" s="2"/>
      <c r="C17" s="2"/>
      <c r="D17" s="2"/>
      <c r="E17" s="2"/>
      <c r="F17" s="2"/>
      <c r="G17" s="2"/>
    </row>
    <row r="18" spans="1:7" ht="16" x14ac:dyDescent="0.2">
      <c r="A18" s="2"/>
      <c r="B18" s="2"/>
      <c r="C18" s="2"/>
      <c r="D18" s="2"/>
      <c r="E18" s="2"/>
      <c r="F18" s="2"/>
      <c r="G18" s="2"/>
    </row>
  </sheetData>
  <mergeCells count="5">
    <mergeCell ref="A1:G1"/>
    <mergeCell ref="A2:G2"/>
    <mergeCell ref="A4:G4"/>
    <mergeCell ref="A14:G14"/>
    <mergeCell ref="A15:G18"/>
  </mergeCells>
  <printOptions horizontalCentered="1"/>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31"/>
  <sheetViews>
    <sheetView showGridLines="0" zoomScale="140" zoomScaleNormal="140" workbookViewId="0">
      <pane ySplit="4" topLeftCell="A5" activePane="bottomLeft" state="frozen"/>
      <selection pane="bottomLeft" sqref="A1:H1"/>
    </sheetView>
  </sheetViews>
  <sheetFormatPr baseColWidth="10" defaultColWidth="8.5" defaultRowHeight="15" customHeight="1" x14ac:dyDescent="0.2"/>
  <cols>
    <col min="1" max="1" width="24" customWidth="1"/>
    <col min="2" max="3" width="18" customWidth="1"/>
    <col min="4" max="4" width="22" customWidth="1"/>
    <col min="5" max="5" width="14" customWidth="1"/>
    <col min="6" max="8" width="16" customWidth="1"/>
  </cols>
  <sheetData>
    <row r="1" spans="1:8" ht="25.5" customHeight="1" x14ac:dyDescent="0.25">
      <c r="A1" s="6" t="s">
        <v>115</v>
      </c>
      <c r="B1" s="6"/>
      <c r="C1" s="6"/>
      <c r="D1" s="6"/>
      <c r="E1" s="6"/>
      <c r="F1" s="6"/>
      <c r="G1" s="6"/>
      <c r="H1" s="6"/>
    </row>
    <row r="2" spans="1:8" ht="27.75" customHeight="1" x14ac:dyDescent="0.2">
      <c r="A2" s="5" t="s">
        <v>116</v>
      </c>
      <c r="B2" s="5"/>
      <c r="C2" s="5"/>
      <c r="D2" s="5"/>
      <c r="E2" s="5"/>
      <c r="F2" s="5"/>
      <c r="G2" s="5"/>
      <c r="H2" s="5"/>
    </row>
    <row r="4" spans="1:8" ht="19.5" customHeight="1" x14ac:dyDescent="0.2">
      <c r="A4" s="4" t="s">
        <v>117</v>
      </c>
      <c r="B4" s="4"/>
      <c r="C4" s="4"/>
      <c r="D4" s="4"/>
      <c r="E4" s="4"/>
      <c r="F4" s="4"/>
      <c r="G4" s="4"/>
      <c r="H4" s="4"/>
    </row>
    <row r="5" spans="1:8" ht="30" x14ac:dyDescent="0.2">
      <c r="A5" s="7" t="s">
        <v>118</v>
      </c>
      <c r="B5" s="7" t="s">
        <v>119</v>
      </c>
      <c r="C5" s="7" t="s">
        <v>120</v>
      </c>
      <c r="D5" s="7" t="s">
        <v>121</v>
      </c>
      <c r="E5" s="7" t="s">
        <v>122</v>
      </c>
      <c r="F5" s="7" t="s">
        <v>123</v>
      </c>
      <c r="G5" s="7" t="s">
        <v>124</v>
      </c>
      <c r="H5" s="7" t="s">
        <v>125</v>
      </c>
    </row>
    <row r="6" spans="1:8" ht="16" x14ac:dyDescent="0.2">
      <c r="A6" s="8" t="s">
        <v>4</v>
      </c>
      <c r="B6" s="11">
        <f>'Inputs &amp; Sources'!B6</f>
        <v>5000</v>
      </c>
      <c r="C6" s="9">
        <f>'Part 1 - PaaS Approach'!F13+'Part 1 - PaaS Approach'!F14</f>
        <v>1592.0222520000002</v>
      </c>
      <c r="D6" s="9">
        <f>'Part 1 - PaaS Approach'!F11</f>
        <v>2400</v>
      </c>
      <c r="E6" s="9">
        <f>'Part 1 - PaaS Approach'!F15</f>
        <v>3992.0222520000002</v>
      </c>
      <c r="F6" s="11">
        <f>'Inputs &amp; Sources'!C6</f>
        <v>15000</v>
      </c>
      <c r="G6" s="9">
        <f>C6*'Inputs &amp; Sources'!B30</f>
        <v>4776.0667560000002</v>
      </c>
      <c r="H6" s="9">
        <f>G6+(D6*'Inputs &amp; Sources'!B32)</f>
        <v>7176.0667560000002</v>
      </c>
    </row>
    <row r="7" spans="1:8" ht="16" x14ac:dyDescent="0.2">
      <c r="A7" s="8" t="s">
        <v>5</v>
      </c>
      <c r="B7" s="11">
        <f>'Inputs &amp; Sources'!B6</f>
        <v>5000</v>
      </c>
      <c r="C7" s="9">
        <f>'Part 2 - IaaS Approach'!F10</f>
        <v>707.01977520000003</v>
      </c>
      <c r="D7" s="9">
        <f>'Part 2 - IaaS Approach'!F8</f>
        <v>31200</v>
      </c>
      <c r="E7" s="9">
        <f>'Part 2 - IaaS Approach'!F11</f>
        <v>31907.019775199999</v>
      </c>
      <c r="F7" s="11">
        <f>'Inputs &amp; Sources'!C6</f>
        <v>15000</v>
      </c>
      <c r="G7" s="9">
        <f>C7*'Inputs &amp; Sources'!B31</f>
        <v>2828.0791008000001</v>
      </c>
      <c r="H7" s="9">
        <f>G7+(D7*'Inputs &amp; Sources'!B33)</f>
        <v>34028.079100800001</v>
      </c>
    </row>
    <row r="10" spans="1:8" ht="19.5" customHeight="1" x14ac:dyDescent="0.2">
      <c r="A10" s="4" t="s">
        <v>126</v>
      </c>
      <c r="B10" s="4"/>
      <c r="C10" s="4"/>
      <c r="D10" s="4"/>
      <c r="E10" s="4"/>
      <c r="F10" s="4"/>
      <c r="G10" s="4"/>
      <c r="H10" s="4"/>
    </row>
    <row r="11" spans="1:8" ht="16" x14ac:dyDescent="0.2">
      <c r="A11" s="7" t="s">
        <v>3</v>
      </c>
      <c r="B11" s="7" t="s">
        <v>4</v>
      </c>
      <c r="C11" s="7" t="s">
        <v>5</v>
      </c>
      <c r="D11" s="7" t="s">
        <v>127</v>
      </c>
      <c r="E11" s="7" t="s">
        <v>21</v>
      </c>
      <c r="F11" s="7"/>
      <c r="G11" s="7"/>
      <c r="H11" s="7"/>
    </row>
    <row r="12" spans="1:8" ht="16" x14ac:dyDescent="0.2">
      <c r="A12" s="8" t="s">
        <v>128</v>
      </c>
      <c r="B12" s="9">
        <f>E6</f>
        <v>3992.0222520000002</v>
      </c>
      <c r="C12" s="9">
        <f>E7</f>
        <v>31907.019775199999</v>
      </c>
      <c r="D12" s="9">
        <f>C12-B12</f>
        <v>27914.9975232</v>
      </c>
      <c r="E12" s="25" t="s">
        <v>129</v>
      </c>
    </row>
    <row r="13" spans="1:8" ht="16" x14ac:dyDescent="0.2">
      <c r="A13" s="8" t="s">
        <v>130</v>
      </c>
      <c r="B13" s="9">
        <f>H6</f>
        <v>7176.0667560000002</v>
      </c>
      <c r="C13" s="9">
        <f>H7</f>
        <v>34028.079100800001</v>
      </c>
      <c r="D13" s="9">
        <f>C13-B13</f>
        <v>26852.012344800001</v>
      </c>
      <c r="E13" s="25" t="s">
        <v>129</v>
      </c>
    </row>
    <row r="14" spans="1:8" ht="16" x14ac:dyDescent="0.2">
      <c r="A14" s="8" t="s">
        <v>131</v>
      </c>
      <c r="B14" s="26">
        <f>(B13-B12)/(F6-B6)</f>
        <v>0.31840445039999998</v>
      </c>
      <c r="C14" s="26">
        <f>(C13-C12)/(F7-B7)</f>
        <v>0.21210593256000029</v>
      </c>
      <c r="D14" s="26">
        <f>C14-B14</f>
        <v>-0.10629851783999969</v>
      </c>
      <c r="E14" s="27" t="s">
        <v>132</v>
      </c>
    </row>
    <row r="15" spans="1:8" ht="16" x14ac:dyDescent="0.2">
      <c r="A15" s="8" t="s">
        <v>133</v>
      </c>
      <c r="B15" s="9">
        <f>B12-(B14*B6)</f>
        <v>2400</v>
      </c>
      <c r="C15" s="9">
        <f>C12-(C14*B7)</f>
        <v>30846.490112399995</v>
      </c>
      <c r="D15" s="9">
        <f>C15-B15</f>
        <v>28446.490112399995</v>
      </c>
      <c r="E15" s="25" t="s">
        <v>134</v>
      </c>
    </row>
    <row r="16" spans="1:8" ht="16" x14ac:dyDescent="0.2">
      <c r="A16" s="8" t="s">
        <v>10</v>
      </c>
      <c r="D16" s="28">
        <f>(C15-B15)/(B14-C14)</f>
        <v>267609.47086033312</v>
      </c>
      <c r="E16" s="29" t="s">
        <v>135</v>
      </c>
    </row>
    <row r="17" spans="1:8" ht="16" x14ac:dyDescent="0.2">
      <c r="A17" s="8" t="s">
        <v>136</v>
      </c>
      <c r="D17" s="30">
        <f>B15+(B14*D16)</f>
        <v>87608.046491119181</v>
      </c>
      <c r="E17" s="25" t="s">
        <v>129</v>
      </c>
    </row>
    <row r="18" spans="1:8" ht="16" x14ac:dyDescent="0.2">
      <c r="A18" s="8" t="s">
        <v>137</v>
      </c>
      <c r="D18" s="30">
        <f>C15+(C14*D16)</f>
        <v>87608.046491119167</v>
      </c>
      <c r="E18" s="25" t="s">
        <v>129</v>
      </c>
    </row>
    <row r="21" spans="1:8" ht="19.5" customHeight="1" x14ac:dyDescent="0.2">
      <c r="A21" s="4" t="s">
        <v>138</v>
      </c>
      <c r="B21" s="4"/>
      <c r="C21" s="4"/>
      <c r="D21" s="4"/>
      <c r="E21" s="4"/>
      <c r="F21" s="4"/>
      <c r="G21" s="4"/>
      <c r="H21" s="4"/>
    </row>
    <row r="22" spans="1:8" ht="16" x14ac:dyDescent="0.2">
      <c r="A22" s="7" t="s">
        <v>139</v>
      </c>
      <c r="B22" s="7" t="s">
        <v>140</v>
      </c>
      <c r="C22" s="7" t="s">
        <v>141</v>
      </c>
      <c r="D22" s="7" t="s">
        <v>142</v>
      </c>
      <c r="E22" s="7"/>
      <c r="F22" s="7"/>
      <c r="G22" s="7"/>
      <c r="H22" s="7"/>
    </row>
    <row r="23" spans="1:8" ht="16" x14ac:dyDescent="0.2">
      <c r="A23" s="31">
        <v>0</v>
      </c>
      <c r="B23" s="9">
        <f t="shared" ref="B23:B31" si="0">$B$15+($B$14*A23)</f>
        <v>2400</v>
      </c>
      <c r="C23" s="9">
        <f t="shared" ref="C23:C31" si="1">$C$15+($C$14*A23)</f>
        <v>30846.490112399995</v>
      </c>
      <c r="D23" s="17" t="str">
        <f t="shared" ref="D23:D31" si="2">IF(B23&lt;C23,"PaaS","IaaS")</f>
        <v>PaaS</v>
      </c>
    </row>
    <row r="24" spans="1:8" ht="16" x14ac:dyDescent="0.2">
      <c r="A24" s="31">
        <v>5000</v>
      </c>
      <c r="B24" s="9">
        <f t="shared" si="0"/>
        <v>3992.0222519999998</v>
      </c>
      <c r="C24" s="9">
        <f t="shared" si="1"/>
        <v>31907.019775199995</v>
      </c>
      <c r="D24" s="17" t="str">
        <f t="shared" si="2"/>
        <v>PaaS</v>
      </c>
    </row>
    <row r="25" spans="1:8" ht="16" x14ac:dyDescent="0.2">
      <c r="A25" s="31">
        <v>15000</v>
      </c>
      <c r="B25" s="9">
        <f t="shared" si="0"/>
        <v>7176.0667560000002</v>
      </c>
      <c r="C25" s="9">
        <f t="shared" si="1"/>
        <v>34028.079100800001</v>
      </c>
      <c r="D25" s="17" t="str">
        <f t="shared" si="2"/>
        <v>PaaS</v>
      </c>
    </row>
    <row r="26" spans="1:8" ht="16" x14ac:dyDescent="0.2">
      <c r="A26" s="31">
        <v>50000</v>
      </c>
      <c r="B26" s="9">
        <f t="shared" si="0"/>
        <v>18320.222519999999</v>
      </c>
      <c r="C26" s="9">
        <f t="shared" si="1"/>
        <v>41451.786740400014</v>
      </c>
      <c r="D26" s="17" t="str">
        <f t="shared" si="2"/>
        <v>PaaS</v>
      </c>
    </row>
    <row r="27" spans="1:8" ht="16" x14ac:dyDescent="0.2">
      <c r="A27" s="31">
        <v>100000</v>
      </c>
      <c r="B27" s="9">
        <f t="shared" si="0"/>
        <v>34240.445039999999</v>
      </c>
      <c r="C27" s="9">
        <f t="shared" si="1"/>
        <v>52057.083368400024</v>
      </c>
      <c r="D27" s="17" t="str">
        <f t="shared" si="2"/>
        <v>PaaS</v>
      </c>
    </row>
    <row r="28" spans="1:8" ht="16" x14ac:dyDescent="0.2">
      <c r="A28" s="31">
        <v>150000</v>
      </c>
      <c r="B28" s="9">
        <f t="shared" si="0"/>
        <v>50160.667559999994</v>
      </c>
      <c r="C28" s="9">
        <f t="shared" si="1"/>
        <v>62662.379996400035</v>
      </c>
      <c r="D28" s="17" t="str">
        <f t="shared" si="2"/>
        <v>PaaS</v>
      </c>
    </row>
    <row r="29" spans="1:8" ht="16" x14ac:dyDescent="0.2">
      <c r="A29" s="31">
        <v>200000</v>
      </c>
      <c r="B29" s="9">
        <f t="shared" si="0"/>
        <v>66080.890079999997</v>
      </c>
      <c r="C29" s="9">
        <f t="shared" si="1"/>
        <v>73267.676624400046</v>
      </c>
      <c r="D29" s="17" t="str">
        <f t="shared" si="2"/>
        <v>PaaS</v>
      </c>
    </row>
    <row r="30" spans="1:8" ht="16" x14ac:dyDescent="0.2">
      <c r="A30" s="31">
        <v>250000</v>
      </c>
      <c r="B30" s="9">
        <f t="shared" si="0"/>
        <v>82001.112599999993</v>
      </c>
      <c r="C30" s="9">
        <f t="shared" si="1"/>
        <v>83872.973252400072</v>
      </c>
      <c r="D30" s="17" t="str">
        <f t="shared" si="2"/>
        <v>PaaS</v>
      </c>
    </row>
    <row r="31" spans="1:8" ht="16" x14ac:dyDescent="0.2">
      <c r="A31" s="31">
        <v>300000</v>
      </c>
      <c r="B31" s="9">
        <f t="shared" si="0"/>
        <v>97921.335119999989</v>
      </c>
      <c r="C31" s="9">
        <f t="shared" si="1"/>
        <v>94478.269880400083</v>
      </c>
      <c r="D31" s="17" t="str">
        <f t="shared" si="2"/>
        <v>IaaS</v>
      </c>
    </row>
  </sheetData>
  <mergeCells count="5">
    <mergeCell ref="A1:H1"/>
    <mergeCell ref="A2:H2"/>
    <mergeCell ref="A4:H4"/>
    <mergeCell ref="A10:H10"/>
    <mergeCell ref="A21:H21"/>
  </mergeCells>
  <printOptions horizontalCentered="1"/>
  <pageMargins left="0.75" right="0.75" top="1" bottom="1" header="0.511811023622047" footer="0.511811023622047"/>
  <pageSetup fitToHeight="0" orientation="landscape"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2"/>
  <sheetViews>
    <sheetView showGridLines="0" tabSelected="1" zoomScale="170" zoomScaleNormal="170" workbookViewId="0">
      <pane ySplit="4" topLeftCell="A5" activePane="bottomLeft" state="frozen"/>
      <selection pane="bottomLeft" sqref="A1:H1"/>
    </sheetView>
  </sheetViews>
  <sheetFormatPr baseColWidth="10" defaultColWidth="8.5" defaultRowHeight="15" customHeight="1" x14ac:dyDescent="0.2"/>
  <cols>
    <col min="1" max="8" width="16" customWidth="1"/>
  </cols>
  <sheetData>
    <row r="1" spans="1:8" ht="25.5" customHeight="1" x14ac:dyDescent="0.25">
      <c r="A1" s="6" t="s">
        <v>143</v>
      </c>
      <c r="B1" s="6"/>
      <c r="C1" s="6"/>
      <c r="D1" s="6"/>
      <c r="E1" s="6"/>
      <c r="F1" s="6"/>
      <c r="G1" s="6"/>
      <c r="H1" s="6"/>
    </row>
    <row r="2" spans="1:8" ht="27.75" customHeight="1" x14ac:dyDescent="0.2">
      <c r="A2" s="5" t="s">
        <v>144</v>
      </c>
      <c r="B2" s="5"/>
      <c r="C2" s="5"/>
      <c r="D2" s="5"/>
      <c r="E2" s="5"/>
      <c r="F2" s="5"/>
      <c r="G2" s="5"/>
      <c r="H2" s="5"/>
    </row>
    <row r="4" spans="1:8" ht="19.5" customHeight="1" x14ac:dyDescent="0.2">
      <c r="A4" s="4" t="s">
        <v>145</v>
      </c>
      <c r="B4" s="4"/>
      <c r="C4" s="4"/>
      <c r="D4" s="4"/>
      <c r="E4" s="4"/>
      <c r="F4" s="4"/>
      <c r="G4" s="4"/>
      <c r="H4" s="4"/>
    </row>
    <row r="5" spans="1:8" ht="27.75" customHeight="1" x14ac:dyDescent="0.2">
      <c r="A5" s="1" t="s">
        <v>146</v>
      </c>
      <c r="B5" s="1"/>
      <c r="C5" s="1"/>
      <c r="D5" s="1"/>
      <c r="E5" s="1"/>
      <c r="F5" s="1"/>
      <c r="G5" s="1"/>
      <c r="H5" s="1"/>
    </row>
    <row r="6" spans="1:8" ht="27.75" customHeight="1" x14ac:dyDescent="0.2">
      <c r="A6" s="1"/>
      <c r="B6" s="1"/>
      <c r="C6" s="1"/>
      <c r="D6" s="1"/>
      <c r="E6" s="1"/>
      <c r="F6" s="1"/>
      <c r="G6" s="1"/>
      <c r="H6" s="1"/>
    </row>
    <row r="7" spans="1:8" ht="27.75" customHeight="1" x14ac:dyDescent="0.2">
      <c r="A7" s="1"/>
      <c r="B7" s="1"/>
      <c r="C7" s="1"/>
      <c r="D7" s="1"/>
      <c r="E7" s="1"/>
      <c r="F7" s="1"/>
      <c r="G7" s="1"/>
      <c r="H7" s="1"/>
    </row>
    <row r="9" spans="1:8" ht="19.5" customHeight="1" x14ac:dyDescent="0.2">
      <c r="A9" s="4" t="s">
        <v>147</v>
      </c>
      <c r="B9" s="4"/>
      <c r="C9" s="4"/>
      <c r="D9" s="4"/>
      <c r="E9" s="4"/>
      <c r="F9" s="4"/>
      <c r="G9" s="4"/>
      <c r="H9" s="4"/>
    </row>
    <row r="10" spans="1:8" ht="27.75" customHeight="1" x14ac:dyDescent="0.2">
      <c r="A10" s="1" t="s">
        <v>148</v>
      </c>
      <c r="B10" s="1"/>
      <c r="C10" s="1"/>
      <c r="D10" s="1"/>
      <c r="E10" s="1"/>
      <c r="F10" s="1"/>
      <c r="G10" s="1"/>
      <c r="H10" s="1"/>
    </row>
    <row r="11" spans="1:8" ht="27.75" customHeight="1" x14ac:dyDescent="0.2">
      <c r="A11" s="1"/>
      <c r="B11" s="1"/>
      <c r="C11" s="1"/>
      <c r="D11" s="1"/>
      <c r="E11" s="1"/>
      <c r="F11" s="1"/>
      <c r="G11" s="1"/>
      <c r="H11" s="1"/>
    </row>
    <row r="12" spans="1:8" ht="27.75" customHeight="1" x14ac:dyDescent="0.2">
      <c r="A12" s="1"/>
      <c r="B12" s="1"/>
      <c r="C12" s="1"/>
      <c r="D12" s="1"/>
      <c r="E12" s="1"/>
      <c r="F12" s="1"/>
      <c r="G12" s="1"/>
      <c r="H12" s="1"/>
    </row>
    <row r="14" spans="1:8" ht="19.5" customHeight="1" x14ac:dyDescent="0.2">
      <c r="A14" s="4" t="s">
        <v>149</v>
      </c>
      <c r="B14" s="4"/>
      <c r="C14" s="4"/>
      <c r="D14" s="4"/>
      <c r="E14" s="4"/>
      <c r="F14" s="4"/>
      <c r="G14" s="4"/>
      <c r="H14" s="4"/>
    </row>
    <row r="15" spans="1:8" ht="27.75" customHeight="1" x14ac:dyDescent="0.2">
      <c r="A15" s="1" t="s">
        <v>150</v>
      </c>
      <c r="B15" s="1"/>
      <c r="C15" s="1"/>
      <c r="D15" s="1"/>
      <c r="E15" s="1"/>
      <c r="F15" s="1"/>
      <c r="G15" s="1"/>
      <c r="H15" s="1"/>
    </row>
    <row r="16" spans="1:8" ht="27.75" customHeight="1" x14ac:dyDescent="0.2">
      <c r="A16" s="1"/>
      <c r="B16" s="1"/>
      <c r="C16" s="1"/>
      <c r="D16" s="1"/>
      <c r="E16" s="1"/>
      <c r="F16" s="1"/>
      <c r="G16" s="1"/>
      <c r="H16" s="1"/>
    </row>
    <row r="17" spans="1:8" ht="27.75" customHeight="1" x14ac:dyDescent="0.2">
      <c r="A17" s="1"/>
      <c r="B17" s="1"/>
      <c r="C17" s="1"/>
      <c r="D17" s="1"/>
      <c r="E17" s="1"/>
      <c r="F17" s="1"/>
      <c r="G17" s="1"/>
      <c r="H17" s="1"/>
    </row>
    <row r="19" spans="1:8" ht="19.5" customHeight="1" x14ac:dyDescent="0.2">
      <c r="A19" s="4" t="s">
        <v>151</v>
      </c>
      <c r="B19" s="4"/>
      <c r="C19" s="4"/>
      <c r="D19" s="4"/>
      <c r="E19" s="4"/>
      <c r="F19" s="4"/>
      <c r="G19" s="4"/>
      <c r="H19" s="4"/>
    </row>
    <row r="20" spans="1:8" ht="27.75" customHeight="1" x14ac:dyDescent="0.2">
      <c r="A20" s="1" t="s">
        <v>152</v>
      </c>
      <c r="B20" s="1"/>
      <c r="C20" s="1"/>
      <c r="D20" s="1"/>
      <c r="E20" s="1"/>
      <c r="F20" s="1"/>
      <c r="G20" s="1"/>
      <c r="H20" s="1"/>
    </row>
    <row r="21" spans="1:8" ht="27.75" customHeight="1" x14ac:dyDescent="0.2">
      <c r="A21" s="1"/>
      <c r="B21" s="1"/>
      <c r="C21" s="1"/>
      <c r="D21" s="1"/>
      <c r="E21" s="1"/>
      <c r="F21" s="1"/>
      <c r="G21" s="1"/>
      <c r="H21" s="1"/>
    </row>
    <row r="22" spans="1:8" ht="27.75" customHeight="1" x14ac:dyDescent="0.2">
      <c r="A22" s="1"/>
      <c r="B22" s="1"/>
      <c r="C22" s="1"/>
      <c r="D22" s="1"/>
      <c r="E22" s="1"/>
      <c r="F22" s="1"/>
      <c r="G22" s="1"/>
      <c r="H22" s="1"/>
    </row>
  </sheetData>
  <mergeCells count="10">
    <mergeCell ref="A10:H12"/>
    <mergeCell ref="A14:H14"/>
    <mergeCell ref="A15:H17"/>
    <mergeCell ref="A19:H19"/>
    <mergeCell ref="A20:H22"/>
    <mergeCell ref="A1:H1"/>
    <mergeCell ref="A2:H2"/>
    <mergeCell ref="A4:H4"/>
    <mergeCell ref="A5:H7"/>
    <mergeCell ref="A9:H9"/>
  </mergeCells>
  <printOptions horizontalCentered="1"/>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Executive Summary</vt:lpstr>
      <vt:lpstr>Inputs &amp; Sources</vt:lpstr>
      <vt:lpstr>Part 1 - PaaS Approach</vt:lpstr>
      <vt:lpstr>Part 2 - IaaS Approach</vt:lpstr>
      <vt:lpstr>Part 3 - Growth &amp; Break-Even</vt:lpstr>
      <vt:lpstr>Reflection &amp;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Jamison Orton</cp:lastModifiedBy>
  <dcterms:created xsi:type="dcterms:W3CDTF">2026-07-22T19:13:04Z</dcterms:created>
  <dcterms:modified xsi:type="dcterms:W3CDTF">2026-07-22T19:13:04Z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2026-07-14T21:39:19Z</dcterms:created>
  <dc:creator>Jamison Orton</dc:creator>
  <dc:description/>
  <dc:language>en-US</dc:language>
  <cp:lastModifiedBy>Jamison Orton</cp:lastModifiedBy>
  <dcterms:modified xsi:type="dcterms:W3CDTF">2026-07-22T19:06:31Z</dcterms:modified>
  <cp:revision>0</cp:revision>
  <dc:subject/>
  <dc:title/>
</cp:coreProperties>
</file>